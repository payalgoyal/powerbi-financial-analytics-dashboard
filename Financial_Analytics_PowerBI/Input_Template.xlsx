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Analyst\DigitalProduct\Product1\"/>
    </mc:Choice>
  </mc:AlternateContent>
  <xr:revisionPtr revIDLastSave="0" documentId="13_ncr:1_{C2C6BCFE-066F-46C9-8CE3-52ABE199BBF0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EADME" sheetId="1" r:id="rId1"/>
    <sheet name="Company_Master" sheetId="2" r:id="rId2"/>
    <sheet name="Account_Master" sheetId="3" r:id="rId3"/>
    <sheet name="Customer_Vendor_Master" sheetId="4" r:id="rId4"/>
    <sheet name="Department_Master" sheetId="5" r:id="rId5"/>
    <sheet name="Payment_Mode_Master" sheetId="6" r:id="rId6"/>
    <sheet name="Transactions" sheetId="9" r:id="rId7"/>
  </sheets>
  <definedNames>
    <definedName name="Account_list">Account_table[Account_Name]</definedName>
    <definedName name="Company_List">Company_table[Company_Name]</definedName>
    <definedName name="Customer_List">Cust_Vend_table[Party_Name]</definedName>
    <definedName name="Department_List">Dept_table[Department_Name]</definedName>
    <definedName name="Payment_Mode_List">Payment_table[Payment_Mode]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2" i="9"/>
</calcChain>
</file>

<file path=xl/sharedStrings.xml><?xml version="1.0" encoding="utf-8"?>
<sst xmlns="http://schemas.openxmlformats.org/spreadsheetml/2006/main" count="3757" uniqueCount="1321">
  <si>
    <t>Financial Intelligence Toolkit - Input Template</t>
  </si>
  <si>
    <t>Instructions</t>
  </si>
  <si>
    <t>1. Do not change column names.</t>
  </si>
  <si>
    <t>2. Do not delete any sheet.</t>
  </si>
  <si>
    <t>3. Fill master sheets first.</t>
  </si>
  <si>
    <t>4. Enter transactions in the Transactions sheet.</t>
  </si>
  <si>
    <t>5. Save file and refresh Power BI.</t>
  </si>
  <si>
    <t>Company_ID</t>
  </si>
  <si>
    <t>Company_Name</t>
  </si>
  <si>
    <t>Industry</t>
  </si>
  <si>
    <t>City</t>
  </si>
  <si>
    <t>Country</t>
  </si>
  <si>
    <t>Start_Date</t>
  </si>
  <si>
    <t>C001</t>
  </si>
  <si>
    <t>Alpha Traders</t>
  </si>
  <si>
    <t>Retail</t>
  </si>
  <si>
    <t>Mumbai</t>
  </si>
  <si>
    <t>India</t>
  </si>
  <si>
    <t>C002</t>
  </si>
  <si>
    <t>Zenith Services</t>
  </si>
  <si>
    <t>Consulting</t>
  </si>
  <si>
    <t>Bangalore</t>
  </si>
  <si>
    <t>C003</t>
  </si>
  <si>
    <t>Orion Manufacturing</t>
  </si>
  <si>
    <t>Manufacturing</t>
  </si>
  <si>
    <t>Pune</t>
  </si>
  <si>
    <t>Account_ID</t>
  </si>
  <si>
    <t>Account_Name</t>
  </si>
  <si>
    <t>Account_Category</t>
  </si>
  <si>
    <t>Account_Type</t>
  </si>
  <si>
    <t>A001</t>
  </si>
  <si>
    <t>Sales Revenue</t>
  </si>
  <si>
    <t>Revenue</t>
  </si>
  <si>
    <t>Operating Revenue</t>
  </si>
  <si>
    <t>A002</t>
  </si>
  <si>
    <t>Service Income</t>
  </si>
  <si>
    <t>A003</t>
  </si>
  <si>
    <t>Consulting Income</t>
  </si>
  <si>
    <t>Professional Revenue</t>
  </si>
  <si>
    <t>A004</t>
  </si>
  <si>
    <t>Salary Expense</t>
  </si>
  <si>
    <t>Expense</t>
  </si>
  <si>
    <t>Operating Expense</t>
  </si>
  <si>
    <t>A005</t>
  </si>
  <si>
    <t>Rent Expense</t>
  </si>
  <si>
    <t>Fixed Expense</t>
  </si>
  <si>
    <t>A006</t>
  </si>
  <si>
    <t>Marketing Expense</t>
  </si>
  <si>
    <t>A007</t>
  </si>
  <si>
    <t>Software Subscription</t>
  </si>
  <si>
    <t>A008</t>
  </si>
  <si>
    <t>Office Supplies</t>
  </si>
  <si>
    <t>Administrative Expense</t>
  </si>
  <si>
    <t>Party_ID</t>
  </si>
  <si>
    <t>Party_Name</t>
  </si>
  <si>
    <t>Party_Type</t>
  </si>
  <si>
    <t>P001</t>
  </si>
  <si>
    <t>Reliance Retail</t>
  </si>
  <si>
    <t>Customer</t>
  </si>
  <si>
    <t>P002</t>
  </si>
  <si>
    <t>Tata Group</t>
  </si>
  <si>
    <t>P003</t>
  </si>
  <si>
    <t>Corporate Client</t>
  </si>
  <si>
    <t>Delhi</t>
  </si>
  <si>
    <t>P004</t>
  </si>
  <si>
    <t>Online Customer</t>
  </si>
  <si>
    <t>Online</t>
  </si>
  <si>
    <t>Global</t>
  </si>
  <si>
    <t>P005</t>
  </si>
  <si>
    <t>Office Landlord</t>
  </si>
  <si>
    <t>Vendor</t>
  </si>
  <si>
    <t>P006</t>
  </si>
  <si>
    <t>Google Ads</t>
  </si>
  <si>
    <t>P007</t>
  </si>
  <si>
    <t>Microsoft</t>
  </si>
  <si>
    <t>P008</t>
  </si>
  <si>
    <t>Stationery Store</t>
  </si>
  <si>
    <t>Department_ID</t>
  </si>
  <si>
    <t>Department_Name</t>
  </si>
  <si>
    <t>Manager</t>
  </si>
  <si>
    <t>D001</t>
  </si>
  <si>
    <t>Sales</t>
  </si>
  <si>
    <t>Raj Mehta</t>
  </si>
  <si>
    <t>D002</t>
  </si>
  <si>
    <t>HR</t>
  </si>
  <si>
    <t>Priya Kapoor</t>
  </si>
  <si>
    <t>D003</t>
  </si>
  <si>
    <t>Marketing</t>
  </si>
  <si>
    <t>Arjun Shah</t>
  </si>
  <si>
    <t>D004</t>
  </si>
  <si>
    <t>Operations</t>
  </si>
  <si>
    <t>Neha Jain</t>
  </si>
  <si>
    <t>D005</t>
  </si>
  <si>
    <t>Admin</t>
  </si>
  <si>
    <t>Kunal Verma</t>
  </si>
  <si>
    <t>Payment_Mode_ID</t>
  </si>
  <si>
    <t>Payment_Mode</t>
  </si>
  <si>
    <t>PM01</t>
  </si>
  <si>
    <t>Bank Transfer</t>
  </si>
  <si>
    <t>PM02</t>
  </si>
  <si>
    <t>UPI</t>
  </si>
  <si>
    <t>PM03</t>
  </si>
  <si>
    <t>Cash</t>
  </si>
  <si>
    <t>PM04</t>
  </si>
  <si>
    <t>Credit Card</t>
  </si>
  <si>
    <t>Transaction_ID</t>
  </si>
  <si>
    <t>Date</t>
  </si>
  <si>
    <t>Invoice_Number</t>
  </si>
  <si>
    <t>Reference_Number</t>
  </si>
  <si>
    <t>Amount</t>
  </si>
  <si>
    <t>Tax_Amount</t>
  </si>
  <si>
    <t>Net_Amount</t>
  </si>
  <si>
    <t>Notes</t>
  </si>
  <si>
    <t>T0001</t>
  </si>
  <si>
    <t>INV-1001</t>
  </si>
  <si>
    <t>REF-2001</t>
  </si>
  <si>
    <t>Business expense</t>
  </si>
  <si>
    <t>T0002</t>
  </si>
  <si>
    <t>INV-1002</t>
  </si>
  <si>
    <t>REF-2002</t>
  </si>
  <si>
    <t>T0003</t>
  </si>
  <si>
    <t>INV-1003</t>
  </si>
  <si>
    <t>REF-2003</t>
  </si>
  <si>
    <t>T0004</t>
  </si>
  <si>
    <t>INV-1004</t>
  </si>
  <si>
    <t>REF-2004</t>
  </si>
  <si>
    <t>T0005</t>
  </si>
  <si>
    <t>INV-1005</t>
  </si>
  <si>
    <t>REF-2005</t>
  </si>
  <si>
    <t>T0006</t>
  </si>
  <si>
    <t>INV-1006</t>
  </si>
  <si>
    <t>REF-2006</t>
  </si>
  <si>
    <t>T0007</t>
  </si>
  <si>
    <t>INV-1007</t>
  </si>
  <si>
    <t>REF-2007</t>
  </si>
  <si>
    <t>Customer payment</t>
  </si>
  <si>
    <t>T0008</t>
  </si>
  <si>
    <t>INV-1008</t>
  </si>
  <si>
    <t>REF-2008</t>
  </si>
  <si>
    <t>T0009</t>
  </si>
  <si>
    <t>INV-1009</t>
  </si>
  <si>
    <t>REF-2009</t>
  </si>
  <si>
    <t>T0010</t>
  </si>
  <si>
    <t>INV-1010</t>
  </si>
  <si>
    <t>REF-2010</t>
  </si>
  <si>
    <t>T0011</t>
  </si>
  <si>
    <t>INV-1011</t>
  </si>
  <si>
    <t>REF-2011</t>
  </si>
  <si>
    <t>T0012</t>
  </si>
  <si>
    <t>INV-1012</t>
  </si>
  <si>
    <t>REF-2012</t>
  </si>
  <si>
    <t>T0013</t>
  </si>
  <si>
    <t>INV-1013</t>
  </si>
  <si>
    <t>REF-2013</t>
  </si>
  <si>
    <t>T0014</t>
  </si>
  <si>
    <t>INV-1014</t>
  </si>
  <si>
    <t>REF-2014</t>
  </si>
  <si>
    <t>T0015</t>
  </si>
  <si>
    <t>INV-1015</t>
  </si>
  <si>
    <t>REF-2015</t>
  </si>
  <si>
    <t>T0016</t>
  </si>
  <si>
    <t>INV-1016</t>
  </si>
  <si>
    <t>REF-2016</t>
  </si>
  <si>
    <t>T0017</t>
  </si>
  <si>
    <t>INV-1017</t>
  </si>
  <si>
    <t>REF-2017</t>
  </si>
  <si>
    <t>T0018</t>
  </si>
  <si>
    <t>INV-1018</t>
  </si>
  <si>
    <t>REF-2018</t>
  </si>
  <si>
    <t>T0019</t>
  </si>
  <si>
    <t>INV-1019</t>
  </si>
  <si>
    <t>REF-2019</t>
  </si>
  <si>
    <t>T0020</t>
  </si>
  <si>
    <t>INV-1020</t>
  </si>
  <si>
    <t>REF-2020</t>
  </si>
  <si>
    <t>T0021</t>
  </si>
  <si>
    <t>INV-1021</t>
  </si>
  <si>
    <t>REF-2021</t>
  </si>
  <si>
    <t>T0022</t>
  </si>
  <si>
    <t>INV-1022</t>
  </si>
  <si>
    <t>REF-2022</t>
  </si>
  <si>
    <t>T0023</t>
  </si>
  <si>
    <t>INV-1023</t>
  </si>
  <si>
    <t>REF-2023</t>
  </si>
  <si>
    <t>T0024</t>
  </si>
  <si>
    <t>INV-1024</t>
  </si>
  <si>
    <t>REF-2024</t>
  </si>
  <si>
    <t>T0025</t>
  </si>
  <si>
    <t>INV-1025</t>
  </si>
  <si>
    <t>REF-2025</t>
  </si>
  <si>
    <t>T0026</t>
  </si>
  <si>
    <t>INV-1026</t>
  </si>
  <si>
    <t>REF-2026</t>
  </si>
  <si>
    <t>T0027</t>
  </si>
  <si>
    <t>INV-1027</t>
  </si>
  <si>
    <t>REF-2027</t>
  </si>
  <si>
    <t>T0028</t>
  </si>
  <si>
    <t>INV-1028</t>
  </si>
  <si>
    <t>REF-2028</t>
  </si>
  <si>
    <t>T0029</t>
  </si>
  <si>
    <t>INV-1029</t>
  </si>
  <si>
    <t>REF-2029</t>
  </si>
  <si>
    <t>T0030</t>
  </si>
  <si>
    <t>INV-1030</t>
  </si>
  <si>
    <t>REF-2030</t>
  </si>
  <si>
    <t>T0031</t>
  </si>
  <si>
    <t>INV-1031</t>
  </si>
  <si>
    <t>REF-2031</t>
  </si>
  <si>
    <t>T0032</t>
  </si>
  <si>
    <t>INV-1032</t>
  </si>
  <si>
    <t>REF-2032</t>
  </si>
  <si>
    <t>T0033</t>
  </si>
  <si>
    <t>INV-1033</t>
  </si>
  <si>
    <t>REF-2033</t>
  </si>
  <si>
    <t>T0034</t>
  </si>
  <si>
    <t>INV-1034</t>
  </si>
  <si>
    <t>REF-2034</t>
  </si>
  <si>
    <t>T0035</t>
  </si>
  <si>
    <t>INV-1035</t>
  </si>
  <si>
    <t>REF-2035</t>
  </si>
  <si>
    <t>T0036</t>
  </si>
  <si>
    <t>INV-1036</t>
  </si>
  <si>
    <t>REF-2036</t>
  </si>
  <si>
    <t>T0037</t>
  </si>
  <si>
    <t>INV-1037</t>
  </si>
  <si>
    <t>REF-2037</t>
  </si>
  <si>
    <t>T0038</t>
  </si>
  <si>
    <t>INV-1038</t>
  </si>
  <si>
    <t>REF-2038</t>
  </si>
  <si>
    <t>T0039</t>
  </si>
  <si>
    <t>INV-1039</t>
  </si>
  <si>
    <t>REF-2039</t>
  </si>
  <si>
    <t>T0040</t>
  </si>
  <si>
    <t>INV-1040</t>
  </si>
  <si>
    <t>REF-2040</t>
  </si>
  <si>
    <t>T0041</t>
  </si>
  <si>
    <t>INV-1041</t>
  </si>
  <si>
    <t>REF-2041</t>
  </si>
  <si>
    <t>T0042</t>
  </si>
  <si>
    <t>INV-1042</t>
  </si>
  <si>
    <t>REF-2042</t>
  </si>
  <si>
    <t>T0043</t>
  </si>
  <si>
    <t>INV-1043</t>
  </si>
  <si>
    <t>REF-2043</t>
  </si>
  <si>
    <t>T0044</t>
  </si>
  <si>
    <t>INV-1044</t>
  </si>
  <si>
    <t>REF-2044</t>
  </si>
  <si>
    <t>T0045</t>
  </si>
  <si>
    <t>INV-1045</t>
  </si>
  <si>
    <t>REF-2045</t>
  </si>
  <si>
    <t>T0046</t>
  </si>
  <si>
    <t>INV-1046</t>
  </si>
  <si>
    <t>REF-2046</t>
  </si>
  <si>
    <t>T0047</t>
  </si>
  <si>
    <t>INV-1047</t>
  </si>
  <si>
    <t>REF-2047</t>
  </si>
  <si>
    <t>T0048</t>
  </si>
  <si>
    <t>INV-1048</t>
  </si>
  <si>
    <t>REF-2048</t>
  </si>
  <si>
    <t>T0049</t>
  </si>
  <si>
    <t>INV-1049</t>
  </si>
  <si>
    <t>REF-2049</t>
  </si>
  <si>
    <t>T0050</t>
  </si>
  <si>
    <t>INV-1050</t>
  </si>
  <si>
    <t>REF-2050</t>
  </si>
  <si>
    <t>T0051</t>
  </si>
  <si>
    <t>INV-1051</t>
  </si>
  <si>
    <t>REF-2051</t>
  </si>
  <si>
    <t>T0052</t>
  </si>
  <si>
    <t>INV-1052</t>
  </si>
  <si>
    <t>REF-2052</t>
  </si>
  <si>
    <t>T0053</t>
  </si>
  <si>
    <t>INV-1053</t>
  </si>
  <si>
    <t>REF-2053</t>
  </si>
  <si>
    <t>T0054</t>
  </si>
  <si>
    <t>INV-1054</t>
  </si>
  <si>
    <t>REF-2054</t>
  </si>
  <si>
    <t>T0055</t>
  </si>
  <si>
    <t>INV-1055</t>
  </si>
  <si>
    <t>REF-2055</t>
  </si>
  <si>
    <t>T0056</t>
  </si>
  <si>
    <t>INV-1056</t>
  </si>
  <si>
    <t>REF-2056</t>
  </si>
  <si>
    <t>T0057</t>
  </si>
  <si>
    <t>INV-1057</t>
  </si>
  <si>
    <t>REF-2057</t>
  </si>
  <si>
    <t>T0058</t>
  </si>
  <si>
    <t>INV-1058</t>
  </si>
  <si>
    <t>REF-2058</t>
  </si>
  <si>
    <t>T0059</t>
  </si>
  <si>
    <t>INV-1059</t>
  </si>
  <si>
    <t>REF-2059</t>
  </si>
  <si>
    <t>T0060</t>
  </si>
  <si>
    <t>INV-1060</t>
  </si>
  <si>
    <t>REF-2060</t>
  </si>
  <si>
    <t>T0061</t>
  </si>
  <si>
    <t>INV-1061</t>
  </si>
  <si>
    <t>REF-2061</t>
  </si>
  <si>
    <t>T0062</t>
  </si>
  <si>
    <t>INV-1062</t>
  </si>
  <si>
    <t>REF-2062</t>
  </si>
  <si>
    <t>T0063</t>
  </si>
  <si>
    <t>INV-1063</t>
  </si>
  <si>
    <t>REF-2063</t>
  </si>
  <si>
    <t>T0064</t>
  </si>
  <si>
    <t>INV-1064</t>
  </si>
  <si>
    <t>REF-2064</t>
  </si>
  <si>
    <t>T0065</t>
  </si>
  <si>
    <t>INV-1065</t>
  </si>
  <si>
    <t>REF-2065</t>
  </si>
  <si>
    <t>T0066</t>
  </si>
  <si>
    <t>INV-1066</t>
  </si>
  <si>
    <t>REF-2066</t>
  </si>
  <si>
    <t>T0067</t>
  </si>
  <si>
    <t>INV-1067</t>
  </si>
  <si>
    <t>REF-2067</t>
  </si>
  <si>
    <t>T0068</t>
  </si>
  <si>
    <t>INV-1068</t>
  </si>
  <si>
    <t>REF-2068</t>
  </si>
  <si>
    <t>T0069</t>
  </si>
  <si>
    <t>INV-1069</t>
  </si>
  <si>
    <t>REF-2069</t>
  </si>
  <si>
    <t>T0070</t>
  </si>
  <si>
    <t>INV-1070</t>
  </si>
  <si>
    <t>REF-2070</t>
  </si>
  <si>
    <t>T0071</t>
  </si>
  <si>
    <t>INV-1071</t>
  </si>
  <si>
    <t>REF-2071</t>
  </si>
  <si>
    <t>T0072</t>
  </si>
  <si>
    <t>INV-1072</t>
  </si>
  <si>
    <t>REF-2072</t>
  </si>
  <si>
    <t>T0073</t>
  </si>
  <si>
    <t>INV-1073</t>
  </si>
  <si>
    <t>REF-2073</t>
  </si>
  <si>
    <t>T0074</t>
  </si>
  <si>
    <t>INV-1074</t>
  </si>
  <si>
    <t>REF-2074</t>
  </si>
  <si>
    <t>T0075</t>
  </si>
  <si>
    <t>INV-1075</t>
  </si>
  <si>
    <t>REF-2075</t>
  </si>
  <si>
    <t>T0076</t>
  </si>
  <si>
    <t>INV-1076</t>
  </si>
  <si>
    <t>REF-2076</t>
  </si>
  <si>
    <t>T0077</t>
  </si>
  <si>
    <t>INV-1077</t>
  </si>
  <si>
    <t>REF-2077</t>
  </si>
  <si>
    <t>T0078</t>
  </si>
  <si>
    <t>INV-1078</t>
  </si>
  <si>
    <t>REF-2078</t>
  </si>
  <si>
    <t>T0079</t>
  </si>
  <si>
    <t>INV-1079</t>
  </si>
  <si>
    <t>REF-2079</t>
  </si>
  <si>
    <t>T0080</t>
  </si>
  <si>
    <t>INV-1080</t>
  </si>
  <si>
    <t>REF-2080</t>
  </si>
  <si>
    <t>T0081</t>
  </si>
  <si>
    <t>INV-1081</t>
  </si>
  <si>
    <t>REF-2081</t>
  </si>
  <si>
    <t>T0082</t>
  </si>
  <si>
    <t>INV-1082</t>
  </si>
  <si>
    <t>REF-2082</t>
  </si>
  <si>
    <t>T0083</t>
  </si>
  <si>
    <t>INV-1083</t>
  </si>
  <si>
    <t>REF-2083</t>
  </si>
  <si>
    <t>T0084</t>
  </si>
  <si>
    <t>INV-1084</t>
  </si>
  <si>
    <t>REF-2084</t>
  </si>
  <si>
    <t>T0085</t>
  </si>
  <si>
    <t>INV-1085</t>
  </si>
  <si>
    <t>REF-2085</t>
  </si>
  <si>
    <t>T0086</t>
  </si>
  <si>
    <t>INV-1086</t>
  </si>
  <si>
    <t>REF-2086</t>
  </si>
  <si>
    <t>T0087</t>
  </si>
  <si>
    <t>INV-1087</t>
  </si>
  <si>
    <t>REF-2087</t>
  </si>
  <si>
    <t>T0088</t>
  </si>
  <si>
    <t>INV-1088</t>
  </si>
  <si>
    <t>REF-2088</t>
  </si>
  <si>
    <t>T0089</t>
  </si>
  <si>
    <t>INV-1089</t>
  </si>
  <si>
    <t>REF-2089</t>
  </si>
  <si>
    <t>T0090</t>
  </si>
  <si>
    <t>INV-1090</t>
  </si>
  <si>
    <t>REF-2090</t>
  </si>
  <si>
    <t>T0091</t>
  </si>
  <si>
    <t>INV-1091</t>
  </si>
  <si>
    <t>REF-2091</t>
  </si>
  <si>
    <t>T0092</t>
  </si>
  <si>
    <t>INV-1092</t>
  </si>
  <si>
    <t>REF-2092</t>
  </si>
  <si>
    <t>T0093</t>
  </si>
  <si>
    <t>INV-1093</t>
  </si>
  <si>
    <t>REF-2093</t>
  </si>
  <si>
    <t>T0094</t>
  </si>
  <si>
    <t>INV-1094</t>
  </si>
  <si>
    <t>REF-2094</t>
  </si>
  <si>
    <t>T0095</t>
  </si>
  <si>
    <t>INV-1095</t>
  </si>
  <si>
    <t>REF-2095</t>
  </si>
  <si>
    <t>T0096</t>
  </si>
  <si>
    <t>INV-1096</t>
  </si>
  <si>
    <t>REF-2096</t>
  </si>
  <si>
    <t>T0097</t>
  </si>
  <si>
    <t>INV-1097</t>
  </si>
  <si>
    <t>REF-2097</t>
  </si>
  <si>
    <t>T0098</t>
  </si>
  <si>
    <t>INV-1098</t>
  </si>
  <si>
    <t>REF-2098</t>
  </si>
  <si>
    <t>T0099</t>
  </si>
  <si>
    <t>INV-1099</t>
  </si>
  <si>
    <t>REF-2099</t>
  </si>
  <si>
    <t>T0100</t>
  </si>
  <si>
    <t>INV-1100</t>
  </si>
  <si>
    <t>REF-2100</t>
  </si>
  <si>
    <t>T0101</t>
  </si>
  <si>
    <t>INV-1101</t>
  </si>
  <si>
    <t>REF-2101</t>
  </si>
  <si>
    <t>T0102</t>
  </si>
  <si>
    <t>INV-1102</t>
  </si>
  <si>
    <t>REF-2102</t>
  </si>
  <si>
    <t>T0103</t>
  </si>
  <si>
    <t>INV-1103</t>
  </si>
  <si>
    <t>REF-2103</t>
  </si>
  <si>
    <t>T0104</t>
  </si>
  <si>
    <t>INV-1104</t>
  </si>
  <si>
    <t>REF-2104</t>
  </si>
  <si>
    <t>T0105</t>
  </si>
  <si>
    <t>INV-1105</t>
  </si>
  <si>
    <t>REF-2105</t>
  </si>
  <si>
    <t>T0106</t>
  </si>
  <si>
    <t>INV-1106</t>
  </si>
  <si>
    <t>REF-2106</t>
  </si>
  <si>
    <t>T0107</t>
  </si>
  <si>
    <t>INV-1107</t>
  </si>
  <si>
    <t>REF-2107</t>
  </si>
  <si>
    <t>T0108</t>
  </si>
  <si>
    <t>INV-1108</t>
  </si>
  <si>
    <t>REF-2108</t>
  </si>
  <si>
    <t>T0109</t>
  </si>
  <si>
    <t>INV-1109</t>
  </si>
  <si>
    <t>REF-2109</t>
  </si>
  <si>
    <t>T0110</t>
  </si>
  <si>
    <t>INV-1110</t>
  </si>
  <si>
    <t>REF-2110</t>
  </si>
  <si>
    <t>T0111</t>
  </si>
  <si>
    <t>INV-1111</t>
  </si>
  <si>
    <t>REF-2111</t>
  </si>
  <si>
    <t>T0112</t>
  </si>
  <si>
    <t>INV-1112</t>
  </si>
  <si>
    <t>REF-2112</t>
  </si>
  <si>
    <t>T0113</t>
  </si>
  <si>
    <t>INV-1113</t>
  </si>
  <si>
    <t>REF-2113</t>
  </si>
  <si>
    <t>T0114</t>
  </si>
  <si>
    <t>INV-1114</t>
  </si>
  <si>
    <t>REF-2114</t>
  </si>
  <si>
    <t>T0115</t>
  </si>
  <si>
    <t>INV-1115</t>
  </si>
  <si>
    <t>REF-2115</t>
  </si>
  <si>
    <t>T0116</t>
  </si>
  <si>
    <t>INV-1116</t>
  </si>
  <si>
    <t>REF-2116</t>
  </si>
  <si>
    <t>T0117</t>
  </si>
  <si>
    <t>INV-1117</t>
  </si>
  <si>
    <t>REF-2117</t>
  </si>
  <si>
    <t>T0118</t>
  </si>
  <si>
    <t>INV-1118</t>
  </si>
  <si>
    <t>REF-2118</t>
  </si>
  <si>
    <t>T0119</t>
  </si>
  <si>
    <t>INV-1119</t>
  </si>
  <si>
    <t>REF-2119</t>
  </si>
  <si>
    <t>T0120</t>
  </si>
  <si>
    <t>INV-1120</t>
  </si>
  <si>
    <t>REF-2120</t>
  </si>
  <si>
    <t>T0121</t>
  </si>
  <si>
    <t>INV-1121</t>
  </si>
  <si>
    <t>REF-2121</t>
  </si>
  <si>
    <t>T0122</t>
  </si>
  <si>
    <t>INV-1122</t>
  </si>
  <si>
    <t>REF-2122</t>
  </si>
  <si>
    <t>T0123</t>
  </si>
  <si>
    <t>INV-1123</t>
  </si>
  <si>
    <t>REF-2123</t>
  </si>
  <si>
    <t>T0124</t>
  </si>
  <si>
    <t>INV-1124</t>
  </si>
  <si>
    <t>REF-2124</t>
  </si>
  <si>
    <t>T0125</t>
  </si>
  <si>
    <t>INV-1125</t>
  </si>
  <si>
    <t>REF-2125</t>
  </si>
  <si>
    <t>T0126</t>
  </si>
  <si>
    <t>INV-1126</t>
  </si>
  <si>
    <t>REF-2126</t>
  </si>
  <si>
    <t>T0127</t>
  </si>
  <si>
    <t>INV-1127</t>
  </si>
  <si>
    <t>REF-2127</t>
  </si>
  <si>
    <t>T0128</t>
  </si>
  <si>
    <t>INV-1128</t>
  </si>
  <si>
    <t>REF-2128</t>
  </si>
  <si>
    <t>T0129</t>
  </si>
  <si>
    <t>INV-1129</t>
  </si>
  <si>
    <t>REF-2129</t>
  </si>
  <si>
    <t>T0130</t>
  </si>
  <si>
    <t>INV-1130</t>
  </si>
  <si>
    <t>REF-2130</t>
  </si>
  <si>
    <t>T0131</t>
  </si>
  <si>
    <t>INV-1131</t>
  </si>
  <si>
    <t>REF-2131</t>
  </si>
  <si>
    <t>T0132</t>
  </si>
  <si>
    <t>INV-1132</t>
  </si>
  <si>
    <t>REF-2132</t>
  </si>
  <si>
    <t>T0133</t>
  </si>
  <si>
    <t>INV-1133</t>
  </si>
  <si>
    <t>REF-2133</t>
  </si>
  <si>
    <t>T0134</t>
  </si>
  <si>
    <t>INV-1134</t>
  </si>
  <si>
    <t>REF-2134</t>
  </si>
  <si>
    <t>T0135</t>
  </si>
  <si>
    <t>INV-1135</t>
  </si>
  <si>
    <t>REF-2135</t>
  </si>
  <si>
    <t>T0136</t>
  </si>
  <si>
    <t>INV-1136</t>
  </si>
  <si>
    <t>REF-2136</t>
  </si>
  <si>
    <t>T0137</t>
  </si>
  <si>
    <t>INV-1137</t>
  </si>
  <si>
    <t>REF-2137</t>
  </si>
  <si>
    <t>T0138</t>
  </si>
  <si>
    <t>INV-1138</t>
  </si>
  <si>
    <t>REF-2138</t>
  </si>
  <si>
    <t>T0139</t>
  </si>
  <si>
    <t>INV-1139</t>
  </si>
  <si>
    <t>REF-2139</t>
  </si>
  <si>
    <t>T0140</t>
  </si>
  <si>
    <t>INV-1140</t>
  </si>
  <si>
    <t>REF-2140</t>
  </si>
  <si>
    <t>T0141</t>
  </si>
  <si>
    <t>INV-1141</t>
  </si>
  <si>
    <t>REF-2141</t>
  </si>
  <si>
    <t>T0142</t>
  </si>
  <si>
    <t>INV-1142</t>
  </si>
  <si>
    <t>REF-2142</t>
  </si>
  <si>
    <t>T0143</t>
  </si>
  <si>
    <t>INV-1143</t>
  </si>
  <si>
    <t>REF-2143</t>
  </si>
  <si>
    <t>T0144</t>
  </si>
  <si>
    <t>INV-1144</t>
  </si>
  <si>
    <t>REF-2144</t>
  </si>
  <si>
    <t>T0145</t>
  </si>
  <si>
    <t>INV-1145</t>
  </si>
  <si>
    <t>REF-2145</t>
  </si>
  <si>
    <t>T0146</t>
  </si>
  <si>
    <t>INV-1146</t>
  </si>
  <si>
    <t>REF-2146</t>
  </si>
  <si>
    <t>T0147</t>
  </si>
  <si>
    <t>INV-1147</t>
  </si>
  <si>
    <t>REF-2147</t>
  </si>
  <si>
    <t>T0148</t>
  </si>
  <si>
    <t>INV-1148</t>
  </si>
  <si>
    <t>REF-2148</t>
  </si>
  <si>
    <t>T0149</t>
  </si>
  <si>
    <t>INV-1149</t>
  </si>
  <si>
    <t>REF-2149</t>
  </si>
  <si>
    <t>T0150</t>
  </si>
  <si>
    <t>INV-1150</t>
  </si>
  <si>
    <t>REF-2150</t>
  </si>
  <si>
    <t>T0151</t>
  </si>
  <si>
    <t>INV-1151</t>
  </si>
  <si>
    <t>REF-2151</t>
  </si>
  <si>
    <t>T0152</t>
  </si>
  <si>
    <t>INV-1152</t>
  </si>
  <si>
    <t>REF-2152</t>
  </si>
  <si>
    <t>T0153</t>
  </si>
  <si>
    <t>INV-1153</t>
  </si>
  <si>
    <t>REF-2153</t>
  </si>
  <si>
    <t>T0154</t>
  </si>
  <si>
    <t>INV-1154</t>
  </si>
  <si>
    <t>REF-2154</t>
  </si>
  <si>
    <t>T0155</t>
  </si>
  <si>
    <t>INV-1155</t>
  </si>
  <si>
    <t>REF-2155</t>
  </si>
  <si>
    <t>T0156</t>
  </si>
  <si>
    <t>INV-1156</t>
  </si>
  <si>
    <t>REF-2156</t>
  </si>
  <si>
    <t>T0157</t>
  </si>
  <si>
    <t>INV-1157</t>
  </si>
  <si>
    <t>REF-2157</t>
  </si>
  <si>
    <t>T0158</t>
  </si>
  <si>
    <t>INV-1158</t>
  </si>
  <si>
    <t>REF-2158</t>
  </si>
  <si>
    <t>T0159</t>
  </si>
  <si>
    <t>INV-1159</t>
  </si>
  <si>
    <t>REF-2159</t>
  </si>
  <si>
    <t>T0160</t>
  </si>
  <si>
    <t>INV-1160</t>
  </si>
  <si>
    <t>REF-2160</t>
  </si>
  <si>
    <t>T0161</t>
  </si>
  <si>
    <t>INV-1161</t>
  </si>
  <si>
    <t>REF-2161</t>
  </si>
  <si>
    <t>T0162</t>
  </si>
  <si>
    <t>INV-1162</t>
  </si>
  <si>
    <t>REF-2162</t>
  </si>
  <si>
    <t>T0163</t>
  </si>
  <si>
    <t>INV-1163</t>
  </si>
  <si>
    <t>REF-2163</t>
  </si>
  <si>
    <t>T0164</t>
  </si>
  <si>
    <t>INV-1164</t>
  </si>
  <si>
    <t>REF-2164</t>
  </si>
  <si>
    <t>T0165</t>
  </si>
  <si>
    <t>INV-1165</t>
  </si>
  <si>
    <t>REF-2165</t>
  </si>
  <si>
    <t>T0166</t>
  </si>
  <si>
    <t>INV-1166</t>
  </si>
  <si>
    <t>REF-2166</t>
  </si>
  <si>
    <t>T0167</t>
  </si>
  <si>
    <t>INV-1167</t>
  </si>
  <si>
    <t>REF-2167</t>
  </si>
  <si>
    <t>T0168</t>
  </si>
  <si>
    <t>INV-1168</t>
  </si>
  <si>
    <t>REF-2168</t>
  </si>
  <si>
    <t>T0169</t>
  </si>
  <si>
    <t>INV-1169</t>
  </si>
  <si>
    <t>REF-2169</t>
  </si>
  <si>
    <t>T0170</t>
  </si>
  <si>
    <t>INV-1170</t>
  </si>
  <si>
    <t>REF-2170</t>
  </si>
  <si>
    <t>T0171</t>
  </si>
  <si>
    <t>INV-1171</t>
  </si>
  <si>
    <t>REF-2171</t>
  </si>
  <si>
    <t>T0172</t>
  </si>
  <si>
    <t>INV-1172</t>
  </si>
  <si>
    <t>REF-2172</t>
  </si>
  <si>
    <t>T0173</t>
  </si>
  <si>
    <t>INV-1173</t>
  </si>
  <si>
    <t>REF-2173</t>
  </si>
  <si>
    <t>T0174</t>
  </si>
  <si>
    <t>INV-1174</t>
  </si>
  <si>
    <t>REF-2174</t>
  </si>
  <si>
    <t>T0175</t>
  </si>
  <si>
    <t>INV-1175</t>
  </si>
  <si>
    <t>REF-2175</t>
  </si>
  <si>
    <t>T0176</t>
  </si>
  <si>
    <t>INV-1176</t>
  </si>
  <si>
    <t>REF-2176</t>
  </si>
  <si>
    <t>T0177</t>
  </si>
  <si>
    <t>INV-1177</t>
  </si>
  <si>
    <t>REF-2177</t>
  </si>
  <si>
    <t>T0178</t>
  </si>
  <si>
    <t>INV-1178</t>
  </si>
  <si>
    <t>REF-2178</t>
  </si>
  <si>
    <t>T0179</t>
  </si>
  <si>
    <t>INV-1179</t>
  </si>
  <si>
    <t>REF-2179</t>
  </si>
  <si>
    <t>T0180</t>
  </si>
  <si>
    <t>INV-1180</t>
  </si>
  <si>
    <t>REF-2180</t>
  </si>
  <si>
    <t>T0181</t>
  </si>
  <si>
    <t>INV-1181</t>
  </si>
  <si>
    <t>REF-2181</t>
  </si>
  <si>
    <t>T0182</t>
  </si>
  <si>
    <t>INV-1182</t>
  </si>
  <si>
    <t>REF-2182</t>
  </si>
  <si>
    <t>T0183</t>
  </si>
  <si>
    <t>INV-1183</t>
  </si>
  <si>
    <t>REF-2183</t>
  </si>
  <si>
    <t>T0184</t>
  </si>
  <si>
    <t>INV-1184</t>
  </si>
  <si>
    <t>REF-2184</t>
  </si>
  <si>
    <t>T0185</t>
  </si>
  <si>
    <t>INV-1185</t>
  </si>
  <si>
    <t>REF-2185</t>
  </si>
  <si>
    <t>T0186</t>
  </si>
  <si>
    <t>INV-1186</t>
  </si>
  <si>
    <t>REF-2186</t>
  </si>
  <si>
    <t>T0187</t>
  </si>
  <si>
    <t>INV-1187</t>
  </si>
  <si>
    <t>REF-2187</t>
  </si>
  <si>
    <t>T0188</t>
  </si>
  <si>
    <t>INV-1188</t>
  </si>
  <si>
    <t>REF-2188</t>
  </si>
  <si>
    <t>T0189</t>
  </si>
  <si>
    <t>INV-1189</t>
  </si>
  <si>
    <t>REF-2189</t>
  </si>
  <si>
    <t>T0190</t>
  </si>
  <si>
    <t>INV-1190</t>
  </si>
  <si>
    <t>REF-2190</t>
  </si>
  <si>
    <t>T0191</t>
  </si>
  <si>
    <t>INV-1191</t>
  </si>
  <si>
    <t>REF-2191</t>
  </si>
  <si>
    <t>T0192</t>
  </si>
  <si>
    <t>INV-1192</t>
  </si>
  <si>
    <t>REF-2192</t>
  </si>
  <si>
    <t>T0193</t>
  </si>
  <si>
    <t>INV-1193</t>
  </si>
  <si>
    <t>REF-2193</t>
  </si>
  <si>
    <t>T0194</t>
  </si>
  <si>
    <t>INV-1194</t>
  </si>
  <si>
    <t>REF-2194</t>
  </si>
  <si>
    <t>T0195</t>
  </si>
  <si>
    <t>INV-1195</t>
  </si>
  <si>
    <t>REF-2195</t>
  </si>
  <si>
    <t>T0196</t>
  </si>
  <si>
    <t>INV-1196</t>
  </si>
  <si>
    <t>REF-2196</t>
  </si>
  <si>
    <t>T0197</t>
  </si>
  <si>
    <t>INV-1197</t>
  </si>
  <si>
    <t>REF-2197</t>
  </si>
  <si>
    <t>T0198</t>
  </si>
  <si>
    <t>INV-1198</t>
  </si>
  <si>
    <t>REF-2198</t>
  </si>
  <si>
    <t>T0199</t>
  </si>
  <si>
    <t>INV-1199</t>
  </si>
  <si>
    <t>REF-2199</t>
  </si>
  <si>
    <t>T0200</t>
  </si>
  <si>
    <t>INV-1200</t>
  </si>
  <si>
    <t>REF-2200</t>
  </si>
  <si>
    <t>T0201</t>
  </si>
  <si>
    <t>INV-1201</t>
  </si>
  <si>
    <t>REF-2201</t>
  </si>
  <si>
    <t>T0202</t>
  </si>
  <si>
    <t>INV-1202</t>
  </si>
  <si>
    <t>REF-2202</t>
  </si>
  <si>
    <t>T0203</t>
  </si>
  <si>
    <t>INV-1203</t>
  </si>
  <si>
    <t>REF-2203</t>
  </si>
  <si>
    <t>T0204</t>
  </si>
  <si>
    <t>INV-1204</t>
  </si>
  <si>
    <t>REF-2204</t>
  </si>
  <si>
    <t>T0205</t>
  </si>
  <si>
    <t>INV-1205</t>
  </si>
  <si>
    <t>REF-2205</t>
  </si>
  <si>
    <t>T0206</t>
  </si>
  <si>
    <t>INV-1206</t>
  </si>
  <si>
    <t>REF-2206</t>
  </si>
  <si>
    <t>T0207</t>
  </si>
  <si>
    <t>INV-1207</t>
  </si>
  <si>
    <t>REF-2207</t>
  </si>
  <si>
    <t>T0208</t>
  </si>
  <si>
    <t>INV-1208</t>
  </si>
  <si>
    <t>REF-2208</t>
  </si>
  <si>
    <t>T0209</t>
  </si>
  <si>
    <t>INV-1209</t>
  </si>
  <si>
    <t>REF-2209</t>
  </si>
  <si>
    <t>T0210</t>
  </si>
  <si>
    <t>INV-1210</t>
  </si>
  <si>
    <t>REF-2210</t>
  </si>
  <si>
    <t>T0211</t>
  </si>
  <si>
    <t>INV-1211</t>
  </si>
  <si>
    <t>REF-2211</t>
  </si>
  <si>
    <t>T0212</t>
  </si>
  <si>
    <t>INV-1212</t>
  </si>
  <si>
    <t>REF-2212</t>
  </si>
  <si>
    <t>T0213</t>
  </si>
  <si>
    <t>INV-1213</t>
  </si>
  <si>
    <t>REF-2213</t>
  </si>
  <si>
    <t>T0214</t>
  </si>
  <si>
    <t>INV-1214</t>
  </si>
  <si>
    <t>REF-2214</t>
  </si>
  <si>
    <t>T0215</t>
  </si>
  <si>
    <t>INV-1215</t>
  </si>
  <si>
    <t>REF-2215</t>
  </si>
  <si>
    <t>T0216</t>
  </si>
  <si>
    <t>INV-1216</t>
  </si>
  <si>
    <t>REF-2216</t>
  </si>
  <si>
    <t>T0217</t>
  </si>
  <si>
    <t>INV-1217</t>
  </si>
  <si>
    <t>REF-2217</t>
  </si>
  <si>
    <t>T0218</t>
  </si>
  <si>
    <t>INV-1218</t>
  </si>
  <si>
    <t>REF-2218</t>
  </si>
  <si>
    <t>T0219</t>
  </si>
  <si>
    <t>INV-1219</t>
  </si>
  <si>
    <t>REF-2219</t>
  </si>
  <si>
    <t>T0220</t>
  </si>
  <si>
    <t>INV-1220</t>
  </si>
  <si>
    <t>REF-2220</t>
  </si>
  <si>
    <t>T0221</t>
  </si>
  <si>
    <t>INV-1221</t>
  </si>
  <si>
    <t>REF-2221</t>
  </si>
  <si>
    <t>T0222</t>
  </si>
  <si>
    <t>INV-1222</t>
  </si>
  <si>
    <t>REF-2222</t>
  </si>
  <si>
    <t>T0223</t>
  </si>
  <si>
    <t>INV-1223</t>
  </si>
  <si>
    <t>REF-2223</t>
  </si>
  <si>
    <t>T0224</t>
  </si>
  <si>
    <t>INV-1224</t>
  </si>
  <si>
    <t>REF-2224</t>
  </si>
  <si>
    <t>T0225</t>
  </si>
  <si>
    <t>INV-1225</t>
  </si>
  <si>
    <t>REF-2225</t>
  </si>
  <si>
    <t>T0226</t>
  </si>
  <si>
    <t>INV-1226</t>
  </si>
  <si>
    <t>REF-2226</t>
  </si>
  <si>
    <t>T0227</t>
  </si>
  <si>
    <t>INV-1227</t>
  </si>
  <si>
    <t>REF-2227</t>
  </si>
  <si>
    <t>T0228</t>
  </si>
  <si>
    <t>INV-1228</t>
  </si>
  <si>
    <t>REF-2228</t>
  </si>
  <si>
    <t>T0229</t>
  </si>
  <si>
    <t>INV-1229</t>
  </si>
  <si>
    <t>REF-2229</t>
  </si>
  <si>
    <t>T0230</t>
  </si>
  <si>
    <t>INV-1230</t>
  </si>
  <si>
    <t>REF-2230</t>
  </si>
  <si>
    <t>T0231</t>
  </si>
  <si>
    <t>INV-1231</t>
  </si>
  <si>
    <t>REF-2231</t>
  </si>
  <si>
    <t>T0232</t>
  </si>
  <si>
    <t>INV-1232</t>
  </si>
  <si>
    <t>REF-2232</t>
  </si>
  <si>
    <t>T0233</t>
  </si>
  <si>
    <t>INV-1233</t>
  </si>
  <si>
    <t>REF-2233</t>
  </si>
  <si>
    <t>T0234</t>
  </si>
  <si>
    <t>INV-1234</t>
  </si>
  <si>
    <t>REF-2234</t>
  </si>
  <si>
    <t>T0235</t>
  </si>
  <si>
    <t>INV-1235</t>
  </si>
  <si>
    <t>REF-2235</t>
  </si>
  <si>
    <t>T0236</t>
  </si>
  <si>
    <t>INV-1236</t>
  </si>
  <si>
    <t>REF-2236</t>
  </si>
  <si>
    <t>T0237</t>
  </si>
  <si>
    <t>INV-1237</t>
  </si>
  <si>
    <t>REF-2237</t>
  </si>
  <si>
    <t>T0238</t>
  </si>
  <si>
    <t>INV-1238</t>
  </si>
  <si>
    <t>REF-2238</t>
  </si>
  <si>
    <t>T0239</t>
  </si>
  <si>
    <t>INV-1239</t>
  </si>
  <si>
    <t>REF-2239</t>
  </si>
  <si>
    <t>T0240</t>
  </si>
  <si>
    <t>INV-1240</t>
  </si>
  <si>
    <t>REF-2240</t>
  </si>
  <si>
    <t>T0241</t>
  </si>
  <si>
    <t>INV-1241</t>
  </si>
  <si>
    <t>REF-2241</t>
  </si>
  <si>
    <t>T0242</t>
  </si>
  <si>
    <t>INV-1242</t>
  </si>
  <si>
    <t>REF-2242</t>
  </si>
  <si>
    <t>T0243</t>
  </si>
  <si>
    <t>INV-1243</t>
  </si>
  <si>
    <t>REF-2243</t>
  </si>
  <si>
    <t>T0244</t>
  </si>
  <si>
    <t>INV-1244</t>
  </si>
  <si>
    <t>REF-2244</t>
  </si>
  <si>
    <t>T0245</t>
  </si>
  <si>
    <t>INV-1245</t>
  </si>
  <si>
    <t>REF-2245</t>
  </si>
  <si>
    <t>T0246</t>
  </si>
  <si>
    <t>INV-1246</t>
  </si>
  <si>
    <t>REF-2246</t>
  </si>
  <si>
    <t>T0247</t>
  </si>
  <si>
    <t>INV-1247</t>
  </si>
  <si>
    <t>REF-2247</t>
  </si>
  <si>
    <t>T0248</t>
  </si>
  <si>
    <t>INV-1248</t>
  </si>
  <si>
    <t>REF-2248</t>
  </si>
  <si>
    <t>T0249</t>
  </si>
  <si>
    <t>INV-1249</t>
  </si>
  <si>
    <t>REF-2249</t>
  </si>
  <si>
    <t>T0250</t>
  </si>
  <si>
    <t>INV-1250</t>
  </si>
  <si>
    <t>REF-2250</t>
  </si>
  <si>
    <t>T0251</t>
  </si>
  <si>
    <t>INV-1251</t>
  </si>
  <si>
    <t>REF-2251</t>
  </si>
  <si>
    <t>T0252</t>
  </si>
  <si>
    <t>INV-1252</t>
  </si>
  <si>
    <t>REF-2252</t>
  </si>
  <si>
    <t>T0253</t>
  </si>
  <si>
    <t>INV-1253</t>
  </si>
  <si>
    <t>REF-2253</t>
  </si>
  <si>
    <t>T0254</t>
  </si>
  <si>
    <t>INV-1254</t>
  </si>
  <si>
    <t>REF-2254</t>
  </si>
  <si>
    <t>T0255</t>
  </si>
  <si>
    <t>INV-1255</t>
  </si>
  <si>
    <t>REF-2255</t>
  </si>
  <si>
    <t>T0256</t>
  </si>
  <si>
    <t>INV-1256</t>
  </si>
  <si>
    <t>REF-2256</t>
  </si>
  <si>
    <t>T0257</t>
  </si>
  <si>
    <t>INV-1257</t>
  </si>
  <si>
    <t>REF-2257</t>
  </si>
  <si>
    <t>T0258</t>
  </si>
  <si>
    <t>INV-1258</t>
  </si>
  <si>
    <t>REF-2258</t>
  </si>
  <si>
    <t>T0259</t>
  </si>
  <si>
    <t>INV-1259</t>
  </si>
  <si>
    <t>REF-2259</t>
  </si>
  <si>
    <t>T0260</t>
  </si>
  <si>
    <t>INV-1260</t>
  </si>
  <si>
    <t>REF-2260</t>
  </si>
  <si>
    <t>T0261</t>
  </si>
  <si>
    <t>INV-1261</t>
  </si>
  <si>
    <t>REF-2261</t>
  </si>
  <si>
    <t>T0262</t>
  </si>
  <si>
    <t>INV-1262</t>
  </si>
  <si>
    <t>REF-2262</t>
  </si>
  <si>
    <t>T0263</t>
  </si>
  <si>
    <t>INV-1263</t>
  </si>
  <si>
    <t>REF-2263</t>
  </si>
  <si>
    <t>T0264</t>
  </si>
  <si>
    <t>INV-1264</t>
  </si>
  <si>
    <t>REF-2264</t>
  </si>
  <si>
    <t>T0265</t>
  </si>
  <si>
    <t>INV-1265</t>
  </si>
  <si>
    <t>REF-2265</t>
  </si>
  <si>
    <t>T0266</t>
  </si>
  <si>
    <t>INV-1266</t>
  </si>
  <si>
    <t>REF-2266</t>
  </si>
  <si>
    <t>T0267</t>
  </si>
  <si>
    <t>INV-1267</t>
  </si>
  <si>
    <t>REF-2267</t>
  </si>
  <si>
    <t>T0268</t>
  </si>
  <si>
    <t>INV-1268</t>
  </si>
  <si>
    <t>REF-2268</t>
  </si>
  <si>
    <t>T0269</t>
  </si>
  <si>
    <t>INV-1269</t>
  </si>
  <si>
    <t>REF-2269</t>
  </si>
  <si>
    <t>T0270</t>
  </si>
  <si>
    <t>INV-1270</t>
  </si>
  <si>
    <t>REF-2270</t>
  </si>
  <si>
    <t>T0271</t>
  </si>
  <si>
    <t>INV-1271</t>
  </si>
  <si>
    <t>REF-2271</t>
  </si>
  <si>
    <t>T0272</t>
  </si>
  <si>
    <t>INV-1272</t>
  </si>
  <si>
    <t>REF-2272</t>
  </si>
  <si>
    <t>T0273</t>
  </si>
  <si>
    <t>INV-1273</t>
  </si>
  <si>
    <t>REF-2273</t>
  </si>
  <si>
    <t>T0274</t>
  </si>
  <si>
    <t>INV-1274</t>
  </si>
  <si>
    <t>REF-2274</t>
  </si>
  <si>
    <t>T0275</t>
  </si>
  <si>
    <t>INV-1275</t>
  </si>
  <si>
    <t>REF-2275</t>
  </si>
  <si>
    <t>T0276</t>
  </si>
  <si>
    <t>INV-1276</t>
  </si>
  <si>
    <t>REF-2276</t>
  </si>
  <si>
    <t>T0277</t>
  </si>
  <si>
    <t>INV-1277</t>
  </si>
  <si>
    <t>REF-2277</t>
  </si>
  <si>
    <t>T0278</t>
  </si>
  <si>
    <t>INV-1278</t>
  </si>
  <si>
    <t>REF-2278</t>
  </si>
  <si>
    <t>T0279</t>
  </si>
  <si>
    <t>INV-1279</t>
  </si>
  <si>
    <t>REF-2279</t>
  </si>
  <si>
    <t>T0280</t>
  </si>
  <si>
    <t>INV-1280</t>
  </si>
  <si>
    <t>REF-2280</t>
  </si>
  <si>
    <t>T0281</t>
  </si>
  <si>
    <t>INV-1281</t>
  </si>
  <si>
    <t>REF-2281</t>
  </si>
  <si>
    <t>T0282</t>
  </si>
  <si>
    <t>INV-1282</t>
  </si>
  <si>
    <t>REF-2282</t>
  </si>
  <si>
    <t>T0283</t>
  </si>
  <si>
    <t>INV-1283</t>
  </si>
  <si>
    <t>REF-2283</t>
  </si>
  <si>
    <t>T0284</t>
  </si>
  <si>
    <t>INV-1284</t>
  </si>
  <si>
    <t>REF-2284</t>
  </si>
  <si>
    <t>T0285</t>
  </si>
  <si>
    <t>INV-1285</t>
  </si>
  <si>
    <t>REF-2285</t>
  </si>
  <si>
    <t>T0286</t>
  </si>
  <si>
    <t>INV-1286</t>
  </si>
  <si>
    <t>REF-2286</t>
  </si>
  <si>
    <t>T0287</t>
  </si>
  <si>
    <t>INV-1287</t>
  </si>
  <si>
    <t>REF-2287</t>
  </si>
  <si>
    <t>T0288</t>
  </si>
  <si>
    <t>INV-1288</t>
  </si>
  <si>
    <t>REF-2288</t>
  </si>
  <si>
    <t>T0289</t>
  </si>
  <si>
    <t>INV-1289</t>
  </si>
  <si>
    <t>REF-2289</t>
  </si>
  <si>
    <t>T0290</t>
  </si>
  <si>
    <t>INV-1290</t>
  </si>
  <si>
    <t>REF-2290</t>
  </si>
  <si>
    <t>T0291</t>
  </si>
  <si>
    <t>INV-1291</t>
  </si>
  <si>
    <t>REF-2291</t>
  </si>
  <si>
    <t>T0292</t>
  </si>
  <si>
    <t>INV-1292</t>
  </si>
  <si>
    <t>REF-2292</t>
  </si>
  <si>
    <t>T0293</t>
  </si>
  <si>
    <t>INV-1293</t>
  </si>
  <si>
    <t>REF-2293</t>
  </si>
  <si>
    <t>T0294</t>
  </si>
  <si>
    <t>INV-1294</t>
  </si>
  <si>
    <t>REF-2294</t>
  </si>
  <si>
    <t>T0295</t>
  </si>
  <si>
    <t>INV-1295</t>
  </si>
  <si>
    <t>REF-2295</t>
  </si>
  <si>
    <t>T0296</t>
  </si>
  <si>
    <t>INV-1296</t>
  </si>
  <si>
    <t>REF-2296</t>
  </si>
  <si>
    <t>T0297</t>
  </si>
  <si>
    <t>INV-1297</t>
  </si>
  <si>
    <t>REF-2297</t>
  </si>
  <si>
    <t>T0298</t>
  </si>
  <si>
    <t>INV-1298</t>
  </si>
  <si>
    <t>REF-2298</t>
  </si>
  <si>
    <t>T0299</t>
  </si>
  <si>
    <t>INV-1299</t>
  </si>
  <si>
    <t>REF-2299</t>
  </si>
  <si>
    <t>T0300</t>
  </si>
  <si>
    <t>INV-1300</t>
  </si>
  <si>
    <t>REF-2300</t>
  </si>
  <si>
    <t>T0301</t>
  </si>
  <si>
    <t>INV-1301</t>
  </si>
  <si>
    <t>REF-2301</t>
  </si>
  <si>
    <t>T0302</t>
  </si>
  <si>
    <t>INV-1302</t>
  </si>
  <si>
    <t>REF-2302</t>
  </si>
  <si>
    <t>T0303</t>
  </si>
  <si>
    <t>INV-1303</t>
  </si>
  <si>
    <t>REF-2303</t>
  </si>
  <si>
    <t>T0304</t>
  </si>
  <si>
    <t>INV-1304</t>
  </si>
  <si>
    <t>REF-2304</t>
  </si>
  <si>
    <t>T0305</t>
  </si>
  <si>
    <t>INV-1305</t>
  </si>
  <si>
    <t>REF-2305</t>
  </si>
  <si>
    <t>T0306</t>
  </si>
  <si>
    <t>INV-1306</t>
  </si>
  <si>
    <t>REF-2306</t>
  </si>
  <si>
    <t>T0307</t>
  </si>
  <si>
    <t>INV-1307</t>
  </si>
  <si>
    <t>REF-2307</t>
  </si>
  <si>
    <t>T0308</t>
  </si>
  <si>
    <t>INV-1308</t>
  </si>
  <si>
    <t>REF-2308</t>
  </si>
  <si>
    <t>T0309</t>
  </si>
  <si>
    <t>INV-1309</t>
  </si>
  <si>
    <t>REF-2309</t>
  </si>
  <si>
    <t>T0310</t>
  </si>
  <si>
    <t>INV-1310</t>
  </si>
  <si>
    <t>REF-2310</t>
  </si>
  <si>
    <t>T0311</t>
  </si>
  <si>
    <t>INV-1311</t>
  </si>
  <si>
    <t>REF-2311</t>
  </si>
  <si>
    <t>T0312</t>
  </si>
  <si>
    <t>INV-1312</t>
  </si>
  <si>
    <t>REF-2312</t>
  </si>
  <si>
    <t>T0313</t>
  </si>
  <si>
    <t>INV-1313</t>
  </si>
  <si>
    <t>REF-2313</t>
  </si>
  <si>
    <t>T0314</t>
  </si>
  <si>
    <t>INV-1314</t>
  </si>
  <si>
    <t>REF-2314</t>
  </si>
  <si>
    <t>T0315</t>
  </si>
  <si>
    <t>INV-1315</t>
  </si>
  <si>
    <t>REF-2315</t>
  </si>
  <si>
    <t>T0316</t>
  </si>
  <si>
    <t>INV-1316</t>
  </si>
  <si>
    <t>REF-2316</t>
  </si>
  <si>
    <t>T0317</t>
  </si>
  <si>
    <t>INV-1317</t>
  </si>
  <si>
    <t>REF-2317</t>
  </si>
  <si>
    <t>T0318</t>
  </si>
  <si>
    <t>INV-1318</t>
  </si>
  <si>
    <t>REF-2318</t>
  </si>
  <si>
    <t>T0319</t>
  </si>
  <si>
    <t>INV-1319</t>
  </si>
  <si>
    <t>REF-2319</t>
  </si>
  <si>
    <t>T0320</t>
  </si>
  <si>
    <t>INV-1320</t>
  </si>
  <si>
    <t>REF-2320</t>
  </si>
  <si>
    <t>T0321</t>
  </si>
  <si>
    <t>INV-1321</t>
  </si>
  <si>
    <t>REF-2321</t>
  </si>
  <si>
    <t>T0322</t>
  </si>
  <si>
    <t>INV-1322</t>
  </si>
  <si>
    <t>REF-2322</t>
  </si>
  <si>
    <t>T0323</t>
  </si>
  <si>
    <t>INV-1323</t>
  </si>
  <si>
    <t>REF-2323</t>
  </si>
  <si>
    <t>T0324</t>
  </si>
  <si>
    <t>INV-1324</t>
  </si>
  <si>
    <t>REF-2324</t>
  </si>
  <si>
    <t>T0325</t>
  </si>
  <si>
    <t>INV-1325</t>
  </si>
  <si>
    <t>REF-2325</t>
  </si>
  <si>
    <t>T0326</t>
  </si>
  <si>
    <t>INV-1326</t>
  </si>
  <si>
    <t>REF-2326</t>
  </si>
  <si>
    <t>T0327</t>
  </si>
  <si>
    <t>INV-1327</t>
  </si>
  <si>
    <t>REF-2327</t>
  </si>
  <si>
    <t>T0328</t>
  </si>
  <si>
    <t>INV-1328</t>
  </si>
  <si>
    <t>REF-2328</t>
  </si>
  <si>
    <t>T0329</t>
  </si>
  <si>
    <t>INV-1329</t>
  </si>
  <si>
    <t>REF-2329</t>
  </si>
  <si>
    <t>T0330</t>
  </si>
  <si>
    <t>INV-1330</t>
  </si>
  <si>
    <t>REF-2330</t>
  </si>
  <si>
    <t>T0331</t>
  </si>
  <si>
    <t>INV-1331</t>
  </si>
  <si>
    <t>REF-2331</t>
  </si>
  <si>
    <t>T0332</t>
  </si>
  <si>
    <t>INV-1332</t>
  </si>
  <si>
    <t>REF-2332</t>
  </si>
  <si>
    <t>T0333</t>
  </si>
  <si>
    <t>INV-1333</t>
  </si>
  <si>
    <t>REF-2333</t>
  </si>
  <si>
    <t>T0334</t>
  </si>
  <si>
    <t>INV-1334</t>
  </si>
  <si>
    <t>REF-2334</t>
  </si>
  <si>
    <t>T0335</t>
  </si>
  <si>
    <t>INV-1335</t>
  </si>
  <si>
    <t>REF-2335</t>
  </si>
  <si>
    <t>T0336</t>
  </si>
  <si>
    <t>INV-1336</t>
  </si>
  <si>
    <t>REF-2336</t>
  </si>
  <si>
    <t>T0337</t>
  </si>
  <si>
    <t>INV-1337</t>
  </si>
  <si>
    <t>REF-2337</t>
  </si>
  <si>
    <t>T0338</t>
  </si>
  <si>
    <t>INV-1338</t>
  </si>
  <si>
    <t>REF-2338</t>
  </si>
  <si>
    <t>T0339</t>
  </si>
  <si>
    <t>INV-1339</t>
  </si>
  <si>
    <t>REF-2339</t>
  </si>
  <si>
    <t>T0340</t>
  </si>
  <si>
    <t>INV-1340</t>
  </si>
  <si>
    <t>REF-2340</t>
  </si>
  <si>
    <t>T0341</t>
  </si>
  <si>
    <t>INV-1341</t>
  </si>
  <si>
    <t>REF-2341</t>
  </si>
  <si>
    <t>T0342</t>
  </si>
  <si>
    <t>INV-1342</t>
  </si>
  <si>
    <t>REF-2342</t>
  </si>
  <si>
    <t>T0343</t>
  </si>
  <si>
    <t>INV-1343</t>
  </si>
  <si>
    <t>REF-2343</t>
  </si>
  <si>
    <t>T0344</t>
  </si>
  <si>
    <t>INV-1344</t>
  </si>
  <si>
    <t>REF-2344</t>
  </si>
  <si>
    <t>T0345</t>
  </si>
  <si>
    <t>INV-1345</t>
  </si>
  <si>
    <t>REF-2345</t>
  </si>
  <si>
    <t>T0346</t>
  </si>
  <si>
    <t>INV-1346</t>
  </si>
  <si>
    <t>REF-2346</t>
  </si>
  <si>
    <t>T0347</t>
  </si>
  <si>
    <t>INV-1347</t>
  </si>
  <si>
    <t>REF-2347</t>
  </si>
  <si>
    <t>T0348</t>
  </si>
  <si>
    <t>INV-1348</t>
  </si>
  <si>
    <t>REF-2348</t>
  </si>
  <si>
    <t>T0349</t>
  </si>
  <si>
    <t>INV-1349</t>
  </si>
  <si>
    <t>REF-2349</t>
  </si>
  <si>
    <t>T0350</t>
  </si>
  <si>
    <t>INV-1350</t>
  </si>
  <si>
    <t>REF-2350</t>
  </si>
  <si>
    <t>T0351</t>
  </si>
  <si>
    <t>INV-1351</t>
  </si>
  <si>
    <t>REF-2351</t>
  </si>
  <si>
    <t>T0352</t>
  </si>
  <si>
    <t>INV-1352</t>
  </si>
  <si>
    <t>REF-2352</t>
  </si>
  <si>
    <t>T0353</t>
  </si>
  <si>
    <t>INV-1353</t>
  </si>
  <si>
    <t>REF-2353</t>
  </si>
  <si>
    <t>T0354</t>
  </si>
  <si>
    <t>INV-1354</t>
  </si>
  <si>
    <t>REF-2354</t>
  </si>
  <si>
    <t>T0355</t>
  </si>
  <si>
    <t>INV-1355</t>
  </si>
  <si>
    <t>REF-2355</t>
  </si>
  <si>
    <t>T0356</t>
  </si>
  <si>
    <t>INV-1356</t>
  </si>
  <si>
    <t>REF-2356</t>
  </si>
  <si>
    <t>T0357</t>
  </si>
  <si>
    <t>INV-1357</t>
  </si>
  <si>
    <t>REF-2357</t>
  </si>
  <si>
    <t>T0358</t>
  </si>
  <si>
    <t>INV-1358</t>
  </si>
  <si>
    <t>REF-2358</t>
  </si>
  <si>
    <t>T0359</t>
  </si>
  <si>
    <t>INV-1359</t>
  </si>
  <si>
    <t>REF-2359</t>
  </si>
  <si>
    <t>T0360</t>
  </si>
  <si>
    <t>INV-1360</t>
  </si>
  <si>
    <t>REF-2360</t>
  </si>
  <si>
    <t>T0361</t>
  </si>
  <si>
    <t>INV-1361</t>
  </si>
  <si>
    <t>REF-2361</t>
  </si>
  <si>
    <t>T0362</t>
  </si>
  <si>
    <t>INV-1362</t>
  </si>
  <si>
    <t>REF-2362</t>
  </si>
  <si>
    <t>T0363</t>
  </si>
  <si>
    <t>INV-1363</t>
  </si>
  <si>
    <t>REF-2363</t>
  </si>
  <si>
    <t>T0364</t>
  </si>
  <si>
    <t>INV-1364</t>
  </si>
  <si>
    <t>REF-2364</t>
  </si>
  <si>
    <t>T0365</t>
  </si>
  <si>
    <t>INV-1365</t>
  </si>
  <si>
    <t>REF-2365</t>
  </si>
  <si>
    <t>T0366</t>
  </si>
  <si>
    <t>INV-1366</t>
  </si>
  <si>
    <t>REF-2366</t>
  </si>
  <si>
    <t>T0367</t>
  </si>
  <si>
    <t>INV-1367</t>
  </si>
  <si>
    <t>REF-2367</t>
  </si>
  <si>
    <t>T0368</t>
  </si>
  <si>
    <t>INV-1368</t>
  </si>
  <si>
    <t>REF-2368</t>
  </si>
  <si>
    <t>T0369</t>
  </si>
  <si>
    <t>INV-1369</t>
  </si>
  <si>
    <t>REF-2369</t>
  </si>
  <si>
    <t>T0370</t>
  </si>
  <si>
    <t>INV-1370</t>
  </si>
  <si>
    <t>REF-2370</t>
  </si>
  <si>
    <t>T0371</t>
  </si>
  <si>
    <t>INV-1371</t>
  </si>
  <si>
    <t>REF-2371</t>
  </si>
  <si>
    <t>T0372</t>
  </si>
  <si>
    <t>INV-1372</t>
  </si>
  <si>
    <t>REF-2372</t>
  </si>
  <si>
    <t>T0373</t>
  </si>
  <si>
    <t>INV-1373</t>
  </si>
  <si>
    <t>REF-2373</t>
  </si>
  <si>
    <t>T0374</t>
  </si>
  <si>
    <t>INV-1374</t>
  </si>
  <si>
    <t>REF-2374</t>
  </si>
  <si>
    <t>T0375</t>
  </si>
  <si>
    <t>INV-1375</t>
  </si>
  <si>
    <t>REF-2375</t>
  </si>
  <si>
    <t>T0376</t>
  </si>
  <si>
    <t>INV-1376</t>
  </si>
  <si>
    <t>REF-2376</t>
  </si>
  <si>
    <t>T0377</t>
  </si>
  <si>
    <t>INV-1377</t>
  </si>
  <si>
    <t>REF-2377</t>
  </si>
  <si>
    <t>T0378</t>
  </si>
  <si>
    <t>INV-1378</t>
  </si>
  <si>
    <t>REF-2378</t>
  </si>
  <si>
    <t>T0379</t>
  </si>
  <si>
    <t>INV-1379</t>
  </si>
  <si>
    <t>REF-2379</t>
  </si>
  <si>
    <t>T0380</t>
  </si>
  <si>
    <t>INV-1380</t>
  </si>
  <si>
    <t>REF-2380</t>
  </si>
  <si>
    <t>T0381</t>
  </si>
  <si>
    <t>INV-1381</t>
  </si>
  <si>
    <t>REF-2381</t>
  </si>
  <si>
    <t>T0382</t>
  </si>
  <si>
    <t>INV-1382</t>
  </si>
  <si>
    <t>REF-2382</t>
  </si>
  <si>
    <t>T0383</t>
  </si>
  <si>
    <t>INV-1383</t>
  </si>
  <si>
    <t>REF-2383</t>
  </si>
  <si>
    <t>T0384</t>
  </si>
  <si>
    <t>INV-1384</t>
  </si>
  <si>
    <t>REF-2384</t>
  </si>
  <si>
    <t>T0385</t>
  </si>
  <si>
    <t>INV-1385</t>
  </si>
  <si>
    <t>REF-2385</t>
  </si>
  <si>
    <t>T0386</t>
  </si>
  <si>
    <t>INV-1386</t>
  </si>
  <si>
    <t>REF-2386</t>
  </si>
  <si>
    <t>T0387</t>
  </si>
  <si>
    <t>INV-1387</t>
  </si>
  <si>
    <t>REF-2387</t>
  </si>
  <si>
    <t>T0388</t>
  </si>
  <si>
    <t>INV-1388</t>
  </si>
  <si>
    <t>REF-2388</t>
  </si>
  <si>
    <t>T0389</t>
  </si>
  <si>
    <t>INV-1389</t>
  </si>
  <si>
    <t>REF-2389</t>
  </si>
  <si>
    <t>T0390</t>
  </si>
  <si>
    <t>INV-1390</t>
  </si>
  <si>
    <t>REF-2390</t>
  </si>
  <si>
    <t>T0391</t>
  </si>
  <si>
    <t>INV-1391</t>
  </si>
  <si>
    <t>REF-2391</t>
  </si>
  <si>
    <t>T0392</t>
  </si>
  <si>
    <t>INV-1392</t>
  </si>
  <si>
    <t>REF-2392</t>
  </si>
  <si>
    <t>T0393</t>
  </si>
  <si>
    <t>INV-1393</t>
  </si>
  <si>
    <t>REF-2393</t>
  </si>
  <si>
    <t>T0394</t>
  </si>
  <si>
    <t>INV-1394</t>
  </si>
  <si>
    <t>REF-2394</t>
  </si>
  <si>
    <t>T0395</t>
  </si>
  <si>
    <t>INV-1395</t>
  </si>
  <si>
    <t>REF-2395</t>
  </si>
  <si>
    <t>T0396</t>
  </si>
  <si>
    <t>INV-1396</t>
  </si>
  <si>
    <t>REF-2396</t>
  </si>
  <si>
    <t>T0397</t>
  </si>
  <si>
    <t>INV-1397</t>
  </si>
  <si>
    <t>REF-2397</t>
  </si>
  <si>
    <t>T0398</t>
  </si>
  <si>
    <t>INV-1398</t>
  </si>
  <si>
    <t>REF-2398</t>
  </si>
  <si>
    <t>T0399</t>
  </si>
  <si>
    <t>INV-1399</t>
  </si>
  <si>
    <t>REF-2399</t>
  </si>
  <si>
    <t>T0400</t>
  </si>
  <si>
    <t>INV-1400</t>
  </si>
  <si>
    <t>REF-2400</t>
  </si>
  <si>
    <t>(blank)</t>
  </si>
  <si>
    <t>Company Select</t>
  </si>
  <si>
    <t>Party Select</t>
  </si>
  <si>
    <t>Department Select</t>
  </si>
  <si>
    <t>Payment Mode Select</t>
  </si>
  <si>
    <t>Account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</si>
</sst>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164" formatCode="[$-14009]dd/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DBAB3D-926E-412D-8927-81F0D42AB2B1}" name="Company_table" displayName="Company_table" ref="A1:F5" totalsRowShown="0">
  <autoFilter ref="A1:F5" xr:uid="{EFDBAB3D-926E-412D-8927-81F0D42AB2B1}"/>
  <tableColumns count="6">
    <tableColumn id="1" xr3:uid="{46C84082-F906-485E-9326-746CD3582080}" name="Company_ID"/>
    <tableColumn id="2" xr3:uid="{CE811B69-81C1-40CB-BA62-4E6D3E5BAE22}" name="Company_Name"/>
    <tableColumn id="3" xr3:uid="{23D891F9-BCDD-4CAF-B4F3-C53D6216C9A7}" name="Industry"/>
    <tableColumn id="4" xr3:uid="{265C3796-E275-407D-AFA1-A9D13CBDB5A3}" name="City"/>
    <tableColumn id="5" xr3:uid="{4E73CEF9-A29C-4D0B-B53C-373EA73F8AE8}" name="Country"/>
    <tableColumn id="6" xr3:uid="{AA33D4BD-0232-4392-A904-3819B7A4A64E}" name="Start_Date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7CB179-895F-4E50-A619-B9830425EA04}" name="Account_table" displayName="Account_table" ref="A1:D9" totalsRowShown="0">
  <autoFilter ref="A1:D9" xr:uid="{697CB179-895F-4E50-A619-B9830425EA04}"/>
  <tableColumns count="4">
    <tableColumn id="1" xr3:uid="{4E7EDCA7-EEA8-44DD-BF53-4D27ADF0EB98}" name="Account_ID"/>
    <tableColumn id="2" xr3:uid="{0D1E8329-1855-48DC-9F64-AA78FC6E72C8}" name="Account_Name"/>
    <tableColumn id="3" xr3:uid="{1C03C40D-60D3-4AE3-9D53-7A0BE1F7D904}" name="Account_Category"/>
    <tableColumn id="4" xr3:uid="{2A904231-1412-431B-B952-204A3556E3D4}" name="Account_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CCB4AD-F9CB-4AB6-BD21-73CDF17DA5E6}" name="Cust_Vend_table" displayName="Cust_Vend_table" ref="A1:E9" totalsRowShown="0">
  <autoFilter ref="A1:E9" xr:uid="{F4CCB4AD-F9CB-4AB6-BD21-73CDF17DA5E6}"/>
  <tableColumns count="5">
    <tableColumn id="1" xr3:uid="{074889C3-AADC-4FAC-ADD6-B450A8E01271}" name="Party_ID"/>
    <tableColumn id="2" xr3:uid="{EA5CD139-77D5-4260-9BB7-CC21EB1B321D}" name="Party_Name"/>
    <tableColumn id="3" xr3:uid="{982256FD-1584-470B-9A5F-0E910290160B}" name="Party_Type"/>
    <tableColumn id="4" xr3:uid="{D9007D61-FA11-4A41-998A-5D32BF0BACF0}" name="City"/>
    <tableColumn id="5" xr3:uid="{FAA05ADF-0C9A-4F6F-B12D-219BE5866249}" name="Count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365EC-E31B-4588-94EE-14317B797410}" name="Dept_table" displayName="Dept_table" ref="A1:C6" totalsRowShown="0">
  <autoFilter ref="A1:C6" xr:uid="{87F365EC-E31B-4588-94EE-14317B797410}"/>
  <tableColumns count="3">
    <tableColumn id="1" xr3:uid="{81A89A42-BE6B-4172-B148-88DC7868DBD9}" name="Department_ID"/>
    <tableColumn id="2" xr3:uid="{CB9A035E-4D41-463E-A7A0-FBA8F17792AB}" name="Department_Name"/>
    <tableColumn id="3" xr3:uid="{54E52590-3580-4280-92A1-E219CA1490EE}" name="Manag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F119B-79F0-4727-A44B-4A6F56C8B12C}" name="Payment_table" displayName="Payment_table" ref="A1:B5" totalsRowShown="0">
  <autoFilter ref="A1:B5" xr:uid="{C91F119B-79F0-4727-A44B-4A6F56C8B12C}"/>
  <tableColumns count="2">
    <tableColumn id="1" xr3:uid="{BA77BC67-7238-4E5E-92F4-C38A85DEFADA}" name="Payment_Mode_ID"/>
    <tableColumn id="2" xr3:uid="{7E7D2AED-B01B-4020-B0CB-1529000C2F8B}" name="Payment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11" sqref="A11"/>
    </sheetView>
  </sheetViews>
  <sheetFormatPr defaultRowHeight="14.4" x14ac:dyDescent="0.3"/>
  <cols>
    <col min="1" max="1" width="39.77734375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D17" sqref="D17"/>
    </sheetView>
  </sheetViews>
  <sheetFormatPr defaultRowHeight="14.4" x14ac:dyDescent="0.3"/>
  <cols>
    <col min="1" max="1" width="13.77734375" customWidth="1"/>
    <col min="2" max="2" width="18.109375" bestFit="1" customWidth="1"/>
    <col min="3" max="3" width="12.88671875" bestFit="1" customWidth="1"/>
    <col min="4" max="4" width="9.21875" bestFit="1" customWidth="1"/>
    <col min="5" max="5" width="9.6640625" customWidth="1"/>
    <col min="6" max="6" width="15.6640625" style="2" customWidth="1"/>
    <col min="7" max="7" width="10.44140625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s="2" t="s">
        <v>12</v>
      </c>
    </row>
    <row r="2" spans="1:6" x14ac:dyDescent="0.3">
      <c r="A2" t="s">
        <v>1315</v>
      </c>
      <c r="B2" t="s">
        <v>1315</v>
      </c>
    </row>
    <row r="3" spans="1: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43831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17</v>
      </c>
      <c r="F4" s="2">
        <v>44270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17</v>
      </c>
      <c r="F5" s="2">
        <v>43656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9"/>
    </sheetView>
  </sheetViews>
  <sheetFormatPr defaultRowHeight="14.4" x14ac:dyDescent="0.3"/>
  <cols>
    <col min="1" max="1" width="12.6640625" customWidth="1"/>
    <col min="2" max="2" width="15.88671875" customWidth="1"/>
    <col min="3" max="3" width="18.44140625" customWidth="1"/>
    <col min="4" max="4" width="15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 t="s">
        <v>30</v>
      </c>
      <c r="B2" t="s">
        <v>31</v>
      </c>
      <c r="C2" t="s">
        <v>32</v>
      </c>
      <c r="D2" t="s">
        <v>33</v>
      </c>
    </row>
    <row r="3" spans="1:4" x14ac:dyDescent="0.3">
      <c r="A3" t="s">
        <v>34</v>
      </c>
      <c r="B3" t="s">
        <v>35</v>
      </c>
      <c r="C3" t="s">
        <v>32</v>
      </c>
      <c r="D3" t="s">
        <v>33</v>
      </c>
    </row>
    <row r="4" spans="1:4" x14ac:dyDescent="0.3">
      <c r="A4" t="s">
        <v>36</v>
      </c>
      <c r="B4" t="s">
        <v>37</v>
      </c>
      <c r="C4" t="s">
        <v>32</v>
      </c>
      <c r="D4" t="s">
        <v>38</v>
      </c>
    </row>
    <row r="5" spans="1:4" x14ac:dyDescent="0.3">
      <c r="A5" t="s">
        <v>39</v>
      </c>
      <c r="B5" t="s">
        <v>40</v>
      </c>
      <c r="C5" t="s">
        <v>41</v>
      </c>
      <c r="D5" t="s">
        <v>42</v>
      </c>
    </row>
    <row r="6" spans="1:4" x14ac:dyDescent="0.3">
      <c r="A6" t="s">
        <v>43</v>
      </c>
      <c r="B6" t="s">
        <v>44</v>
      </c>
      <c r="C6" t="s">
        <v>41</v>
      </c>
      <c r="D6" t="s">
        <v>45</v>
      </c>
    </row>
    <row r="7" spans="1:4" x14ac:dyDescent="0.3">
      <c r="A7" t="s">
        <v>46</v>
      </c>
      <c r="B7" t="s">
        <v>47</v>
      </c>
      <c r="C7" t="s">
        <v>41</v>
      </c>
      <c r="D7" t="s">
        <v>42</v>
      </c>
    </row>
    <row r="8" spans="1:4" x14ac:dyDescent="0.3">
      <c r="A8" t="s">
        <v>48</v>
      </c>
      <c r="B8" t="s">
        <v>49</v>
      </c>
      <c r="C8" t="s">
        <v>41</v>
      </c>
      <c r="D8" t="s">
        <v>42</v>
      </c>
    </row>
    <row r="9" spans="1:4" x14ac:dyDescent="0.3">
      <c r="A9" t="s">
        <v>50</v>
      </c>
      <c r="B9" t="s">
        <v>51</v>
      </c>
      <c r="C9" t="s">
        <v>41</v>
      </c>
      <c r="D9" t="s">
        <v>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C5" sqref="C5"/>
    </sheetView>
  </sheetViews>
  <sheetFormatPr defaultRowHeight="14.4" x14ac:dyDescent="0.3"/>
  <cols>
    <col min="1" max="1" width="10.109375" customWidth="1"/>
    <col min="2" max="2" width="13.33203125" customWidth="1"/>
    <col min="3" max="3" width="12.44140625" customWidth="1"/>
    <col min="5" max="5" width="9.6640625" customWidth="1"/>
  </cols>
  <sheetData>
    <row r="1" spans="1:5" x14ac:dyDescent="0.3">
      <c r="A1" t="s">
        <v>53</v>
      </c>
      <c r="B1" t="s">
        <v>54</v>
      </c>
      <c r="C1" t="s">
        <v>55</v>
      </c>
      <c r="D1" t="s">
        <v>10</v>
      </c>
      <c r="E1" t="s">
        <v>11</v>
      </c>
    </row>
    <row r="2" spans="1:5" x14ac:dyDescent="0.3">
      <c r="A2" t="s">
        <v>56</v>
      </c>
      <c r="B2" t="s">
        <v>57</v>
      </c>
      <c r="C2" t="s">
        <v>58</v>
      </c>
      <c r="D2" t="s">
        <v>16</v>
      </c>
      <c r="E2" t="s">
        <v>17</v>
      </c>
    </row>
    <row r="3" spans="1:5" x14ac:dyDescent="0.3">
      <c r="A3" t="s">
        <v>59</v>
      </c>
      <c r="B3" t="s">
        <v>60</v>
      </c>
      <c r="C3" t="s">
        <v>58</v>
      </c>
      <c r="D3" t="s">
        <v>16</v>
      </c>
      <c r="E3" t="s">
        <v>17</v>
      </c>
    </row>
    <row r="4" spans="1:5" x14ac:dyDescent="0.3">
      <c r="A4" t="s">
        <v>61</v>
      </c>
      <c r="B4" t="s">
        <v>62</v>
      </c>
      <c r="C4" t="s">
        <v>58</v>
      </c>
      <c r="D4" t="s">
        <v>63</v>
      </c>
      <c r="E4" t="s">
        <v>17</v>
      </c>
    </row>
    <row r="5" spans="1:5" x14ac:dyDescent="0.3">
      <c r="A5" t="s">
        <v>64</v>
      </c>
      <c r="B5" t="s">
        <v>65</v>
      </c>
      <c r="C5" t="s">
        <v>58</v>
      </c>
      <c r="D5" t="s">
        <v>66</v>
      </c>
      <c r="E5" t="s">
        <v>67</v>
      </c>
    </row>
    <row r="6" spans="1:5" x14ac:dyDescent="0.3">
      <c r="A6" t="s">
        <v>68</v>
      </c>
      <c r="B6" t="s">
        <v>69</v>
      </c>
      <c r="C6" t="s">
        <v>70</v>
      </c>
      <c r="D6" t="s">
        <v>16</v>
      </c>
      <c r="E6" t="s">
        <v>17</v>
      </c>
    </row>
    <row r="7" spans="1:5" x14ac:dyDescent="0.3">
      <c r="A7" t="s">
        <v>71</v>
      </c>
      <c r="B7" t="s">
        <v>72</v>
      </c>
      <c r="C7" t="s">
        <v>70</v>
      </c>
      <c r="D7" t="s">
        <v>66</v>
      </c>
      <c r="E7" t="s">
        <v>67</v>
      </c>
    </row>
    <row r="8" spans="1:5" x14ac:dyDescent="0.3">
      <c r="A8" t="s">
        <v>73</v>
      </c>
      <c r="B8" t="s">
        <v>74</v>
      </c>
      <c r="C8" t="s">
        <v>70</v>
      </c>
      <c r="D8" t="s">
        <v>66</v>
      </c>
      <c r="E8" t="s">
        <v>67</v>
      </c>
    </row>
    <row r="9" spans="1:5" x14ac:dyDescent="0.3">
      <c r="A9" t="s">
        <v>75</v>
      </c>
      <c r="B9" t="s">
        <v>76</v>
      </c>
      <c r="C9" t="s">
        <v>70</v>
      </c>
      <c r="D9" t="s">
        <v>25</v>
      </c>
      <c r="E9" t="s">
        <v>17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C3" sqref="C3"/>
    </sheetView>
  </sheetViews>
  <sheetFormatPr defaultRowHeight="14.4" x14ac:dyDescent="0.3"/>
  <cols>
    <col min="1" max="1" width="15.77734375" customWidth="1"/>
    <col min="2" max="2" width="19" customWidth="1"/>
    <col min="3" max="3" width="10.44140625" customWidth="1"/>
  </cols>
  <sheetData>
    <row r="1" spans="1:3" x14ac:dyDescent="0.3">
      <c r="A1" t="s">
        <v>77</v>
      </c>
      <c r="B1" t="s">
        <v>78</v>
      </c>
      <c r="C1" t="s">
        <v>79</v>
      </c>
    </row>
    <row r="2" spans="1:3" x14ac:dyDescent="0.3">
      <c r="A2" t="s">
        <v>80</v>
      </c>
      <c r="B2" t="s">
        <v>81</v>
      </c>
      <c r="C2" t="s">
        <v>82</v>
      </c>
    </row>
    <row r="3" spans="1:3" x14ac:dyDescent="0.3">
      <c r="A3" t="s">
        <v>83</v>
      </c>
      <c r="B3" t="s">
        <v>84</v>
      </c>
      <c r="C3" t="s">
        <v>85</v>
      </c>
    </row>
    <row r="4" spans="1:3" x14ac:dyDescent="0.3">
      <c r="A4" t="s">
        <v>86</v>
      </c>
      <c r="B4" t="s">
        <v>87</v>
      </c>
      <c r="C4" t="s">
        <v>88</v>
      </c>
    </row>
    <row r="5" spans="1:3" x14ac:dyDescent="0.3">
      <c r="A5" t="s">
        <v>89</v>
      </c>
      <c r="B5" t="s">
        <v>90</v>
      </c>
      <c r="C5" t="s">
        <v>91</v>
      </c>
    </row>
    <row r="6" spans="1:3" x14ac:dyDescent="0.3">
      <c r="A6" t="s">
        <v>92</v>
      </c>
      <c r="B6" t="s">
        <v>93</v>
      </c>
      <c r="C6" t="s">
        <v>94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4" sqref="B4"/>
    </sheetView>
  </sheetViews>
  <sheetFormatPr defaultRowHeight="14.4" x14ac:dyDescent="0.3"/>
  <cols>
    <col min="1" max="1" width="19.21875" customWidth="1"/>
    <col min="2" max="2" width="16.44140625" customWidth="1"/>
  </cols>
  <sheetData>
    <row r="1" spans="1:2" x14ac:dyDescent="0.3">
      <c r="A1" t="s">
        <v>95</v>
      </c>
      <c r="B1" t="s">
        <v>96</v>
      </c>
    </row>
    <row r="2" spans="1:2" x14ac:dyDescent="0.3">
      <c r="A2" t="s">
        <v>97</v>
      </c>
      <c r="B2" t="s">
        <v>98</v>
      </c>
    </row>
    <row r="3" spans="1:2" x14ac:dyDescent="0.3">
      <c r="A3" t="s">
        <v>99</v>
      </c>
      <c r="B3" t="s">
        <v>100</v>
      </c>
    </row>
    <row r="4" spans="1:2" x14ac:dyDescent="0.3">
      <c r="A4" t="s">
        <v>101</v>
      </c>
      <c r="B4" t="s">
        <v>102</v>
      </c>
    </row>
    <row r="5" spans="1:2" x14ac:dyDescent="0.3">
      <c r="A5" t="s">
        <v>103</v>
      </c>
      <c r="B5" t="s">
        <v>104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10C9-4FB8-4F07-98EC-C2C10CB5ACE0}">
  <dimension ref="A1:R401"/>
  <sheetViews>
    <sheetView tabSelected="1" workbookViewId="0">
      <selection activeCell="F4" sqref="F4"/>
    </sheetView>
  </sheetViews>
  <sheetFormatPr defaultRowHeight="14.4" x14ac:dyDescent="0.3"/>
  <cols>
    <col min="1" max="1" width="13.44140625" bestFit="1" customWidth="1"/>
    <col min="2" max="2" width="12.6640625" style="1" customWidth="1"/>
    <col min="3" max="3" width="16.44140625" style="1" customWidth="1"/>
    <col min="4" max="4" width="11.44140625" bestFit="1" customWidth="1"/>
    <col min="5" max="5" width="14" customWidth="1"/>
    <col min="6" max="6" width="10.44140625" bestFit="1" customWidth="1"/>
    <col min="7" max="7" width="15.33203125" customWidth="1"/>
    <col min="9" max="9" width="16.21875" customWidth="1"/>
    <col min="10" max="10" width="13.6640625" bestFit="1" customWidth="1"/>
    <col min="11" max="11" width="18.88671875" customWidth="1"/>
    <col min="12" max="12" width="16.77734375" bestFit="1" customWidth="1"/>
    <col min="13" max="13" width="14.5546875" bestFit="1" customWidth="1"/>
    <col min="14" max="14" width="17" bestFit="1" customWidth="1"/>
    <col min="15" max="15" width="8.88671875" style="3"/>
    <col min="16" max="16" width="13.33203125" style="3" customWidth="1"/>
    <col min="17" max="17" width="11.44140625" style="3" bestFit="1" customWidth="1"/>
    <col min="18" max="18" width="16.5546875" bestFit="1" customWidth="1"/>
  </cols>
  <sheetData>
    <row r="1" spans="1:18" x14ac:dyDescent="0.3">
      <c r="A1" t="s">
        <v>105</v>
      </c>
      <c r="B1" s="1" t="s">
        <v>106</v>
      </c>
      <c r="C1" s="1" t="s">
        <v>1316</v>
      </c>
      <c r="D1" t="s">
        <v>7</v>
      </c>
      <c r="E1" t="s">
        <v>1320</v>
      </c>
      <c r="F1" t="s">
        <v>26</v>
      </c>
      <c r="G1" t="s">
        <v>1317</v>
      </c>
      <c r="H1" t="s">
        <v>53</v>
      </c>
      <c r="I1" t="s">
        <v>1318</v>
      </c>
      <c r="J1" t="s">
        <v>77</v>
      </c>
      <c r="K1" t="s">
        <v>1319</v>
      </c>
      <c r="L1" t="s">
        <v>95</v>
      </c>
      <c r="M1" t="s">
        <v>107</v>
      </c>
      <c r="N1" t="s">
        <v>108</v>
      </c>
      <c r="O1" s="3" t="s">
        <v>109</v>
      </c>
      <c r="P1" s="3" t="s">
        <v>110</v>
      </c>
      <c r="Q1" s="3" t="s">
        <v>111</v>
      </c>
      <c r="R1" t="s">
        <v>112</v>
      </c>
    </row>
    <row r="2" spans="1:18" x14ac:dyDescent="0.3">
      <c r="A2" t="s">
        <v>113</v>
      </c>
      <c r="B2" s="1">
        <v>45681</v>
      </c>
      <c r="C2" s="1" t="s">
        <v>23</v>
      </c>
      <c r="D2" t="str">
        <f>_xlfn.XLOOKUP(C2,Company_table[Company_Name],Company_table[Company_ID])</f>
        <v>C003</v>
      </c>
      <c r="E2" t="s">
        <v>40</v>
      </c>
      <c r="F2" t="str">
        <f>_xlfn.XLOOKUP(E2,Account_table[Account_Name],Account_table[Account_ID])</f>
        <v>A004</v>
      </c>
      <c r="G2" t="s">
        <v>74</v>
      </c>
      <c r="H2" t="str">
        <f>_xlfn.XLOOKUP(G2,Cust_Vend_table[Party_Name],Cust_Vend_table[Party_ID])</f>
        <v>P007</v>
      </c>
      <c r="I2" t="s">
        <v>84</v>
      </c>
      <c r="J2" t="str">
        <f>_xlfn.XLOOKUP(I2,Dept_table[Department_Name],Dept_table[Department_ID])</f>
        <v>D002</v>
      </c>
      <c r="K2" t="s">
        <v>104</v>
      </c>
      <c r="L2" t="str">
        <f>_xlfn.XLOOKUP(K2,Payment_table[Payment_Mode],Payment_table[Payment_Mode_ID])</f>
        <v>PM04</v>
      </c>
      <c r="M2" t="s">
        <v>114</v>
      </c>
      <c r="N2" t="s">
        <v>115</v>
      </c>
      <c r="O2" s="3">
        <v>7968</v>
      </c>
      <c r="P2" s="3">
        <v>1434.24</v>
      </c>
      <c r="Q2" s="3">
        <v>9402.24</v>
      </c>
      <c r="R2" t="s">
        <v>116</v>
      </c>
    </row>
    <row r="3" spans="1:18" x14ac:dyDescent="0.3">
      <c r="A3" t="s">
        <v>117</v>
      </c>
      <c r="B3" s="1">
        <v>46025</v>
      </c>
      <c r="C3" s="1" t="s">
        <v>14</v>
      </c>
      <c r="D3" t="str">
        <f>_xlfn.XLOOKUP(C3,Company_table[Company_Name],Company_table[Company_ID])</f>
        <v>C001</v>
      </c>
      <c r="E3" t="s">
        <v>40</v>
      </c>
      <c r="F3" t="str">
        <f>_xlfn.XLOOKUP(E3,Account_table[Account_Name],Account_table[Account_ID])</f>
        <v>A004</v>
      </c>
      <c r="G3" t="s">
        <v>69</v>
      </c>
      <c r="H3" t="str">
        <f>_xlfn.XLOOKUP(G3,Cust_Vend_table[Party_Name],Cust_Vend_table[Party_ID])</f>
        <v>P005</v>
      </c>
      <c r="I3" t="s">
        <v>81</v>
      </c>
      <c r="J3" t="str">
        <f>_xlfn.XLOOKUP(I3,Dept_table[Department_Name],Dept_table[Department_ID])</f>
        <v>D001</v>
      </c>
      <c r="K3" t="s">
        <v>102</v>
      </c>
      <c r="L3" t="str">
        <f>_xlfn.XLOOKUP(K3,Payment_table[Payment_Mode],Payment_table[Payment_Mode_ID])</f>
        <v>PM03</v>
      </c>
      <c r="M3" t="s">
        <v>118</v>
      </c>
      <c r="N3" t="s">
        <v>119</v>
      </c>
      <c r="O3" s="3">
        <v>9790</v>
      </c>
      <c r="P3" s="3">
        <v>1762.2</v>
      </c>
      <c r="Q3" s="3">
        <v>11552.2</v>
      </c>
      <c r="R3" t="s">
        <v>116</v>
      </c>
    </row>
    <row r="4" spans="1:18" x14ac:dyDescent="0.3">
      <c r="A4" t="s">
        <v>120</v>
      </c>
      <c r="B4" s="1">
        <v>45733</v>
      </c>
      <c r="C4" s="1" t="s">
        <v>14</v>
      </c>
      <c r="D4" t="str">
        <f>_xlfn.XLOOKUP(C4,Company_table[Company_Name],Company_table[Company_ID])</f>
        <v>C001</v>
      </c>
      <c r="E4" t="s">
        <v>51</v>
      </c>
      <c r="F4" t="str">
        <f>_xlfn.XLOOKUP(E4,Account_table[Account_Name],Account_table[Account_ID])</f>
        <v>A008</v>
      </c>
      <c r="G4" t="s">
        <v>72</v>
      </c>
      <c r="H4" t="str">
        <f>_xlfn.XLOOKUP(G4,Cust_Vend_table[Party_Name],Cust_Vend_table[Party_ID])</f>
        <v>P006</v>
      </c>
      <c r="I4" t="s">
        <v>87</v>
      </c>
      <c r="J4" t="str">
        <f>_xlfn.XLOOKUP(I4,Dept_table[Department_Name],Dept_table[Department_ID])</f>
        <v>D003</v>
      </c>
      <c r="K4" t="s">
        <v>102</v>
      </c>
      <c r="L4" t="str">
        <f>_xlfn.XLOOKUP(K4,Payment_table[Payment_Mode],Payment_table[Payment_Mode_ID])</f>
        <v>PM03</v>
      </c>
      <c r="M4" t="s">
        <v>121</v>
      </c>
      <c r="N4" t="s">
        <v>122</v>
      </c>
      <c r="O4" s="3">
        <v>46480</v>
      </c>
      <c r="P4" s="3">
        <v>8366.4</v>
      </c>
      <c r="Q4" s="3">
        <v>54846.400000000001</v>
      </c>
      <c r="R4" t="s">
        <v>116</v>
      </c>
    </row>
    <row r="5" spans="1:18" x14ac:dyDescent="0.3">
      <c r="A5" t="s">
        <v>123</v>
      </c>
      <c r="B5" s="1">
        <v>45813</v>
      </c>
      <c r="C5" s="1" t="s">
        <v>14</v>
      </c>
      <c r="D5" t="str">
        <f>_xlfn.XLOOKUP(C5,Company_table[Company_Name],Company_table[Company_ID])</f>
        <v>C001</v>
      </c>
      <c r="E5" t="s">
        <v>40</v>
      </c>
      <c r="F5" t="str">
        <f>_xlfn.XLOOKUP(E5,Account_table[Account_Name],Account_table[Account_ID])</f>
        <v>A004</v>
      </c>
      <c r="G5" t="s">
        <v>76</v>
      </c>
      <c r="H5" t="str">
        <f>_xlfn.XLOOKUP(G5,Cust_Vend_table[Party_Name],Cust_Vend_table[Party_ID])</f>
        <v>P008</v>
      </c>
      <c r="I5" t="s">
        <v>84</v>
      </c>
      <c r="J5" t="str">
        <f>_xlfn.XLOOKUP(I5,Dept_table[Department_Name],Dept_table[Department_ID])</f>
        <v>D002</v>
      </c>
      <c r="K5" t="s">
        <v>104</v>
      </c>
      <c r="L5" t="str">
        <f>_xlfn.XLOOKUP(K5,Payment_table[Payment_Mode],Payment_table[Payment_Mode_ID])</f>
        <v>PM04</v>
      </c>
      <c r="M5" t="s">
        <v>124</v>
      </c>
      <c r="N5" t="s">
        <v>125</v>
      </c>
      <c r="O5" s="3">
        <v>48849</v>
      </c>
      <c r="P5" s="3">
        <v>8792.82</v>
      </c>
      <c r="Q5" s="3">
        <v>57641.82</v>
      </c>
      <c r="R5" t="s">
        <v>116</v>
      </c>
    </row>
    <row r="6" spans="1:18" x14ac:dyDescent="0.3">
      <c r="A6" t="s">
        <v>126</v>
      </c>
      <c r="B6" s="1">
        <v>45749</v>
      </c>
      <c r="C6" s="1" t="s">
        <v>23</v>
      </c>
      <c r="D6" t="str">
        <f>_xlfn.XLOOKUP(C6,Company_table[Company_Name],Company_table[Company_ID])</f>
        <v>C003</v>
      </c>
      <c r="E6" t="s">
        <v>44</v>
      </c>
      <c r="F6" t="str">
        <f>_xlfn.XLOOKUP(E6,Account_table[Account_Name],Account_table[Account_ID])</f>
        <v>A005</v>
      </c>
      <c r="G6" t="s">
        <v>74</v>
      </c>
      <c r="H6" t="str">
        <f>_xlfn.XLOOKUP(G6,Cust_Vend_table[Party_Name],Cust_Vend_table[Party_ID])</f>
        <v>P007</v>
      </c>
      <c r="I6" t="s">
        <v>93</v>
      </c>
      <c r="J6" t="str">
        <f>_xlfn.XLOOKUP(I6,Dept_table[Department_Name],Dept_table[Department_ID])</f>
        <v>D005</v>
      </c>
      <c r="K6" t="s">
        <v>100</v>
      </c>
      <c r="L6" t="str">
        <f>_xlfn.XLOOKUP(K6,Payment_table[Payment_Mode],Payment_table[Payment_Mode_ID])</f>
        <v>PM02</v>
      </c>
      <c r="M6" t="s">
        <v>127</v>
      </c>
      <c r="N6" t="s">
        <v>128</v>
      </c>
      <c r="O6" s="3">
        <v>34123</v>
      </c>
      <c r="P6" s="3">
        <v>6142.14</v>
      </c>
      <c r="Q6" s="3">
        <v>40265.14</v>
      </c>
      <c r="R6" t="s">
        <v>116</v>
      </c>
    </row>
    <row r="7" spans="1:18" x14ac:dyDescent="0.3">
      <c r="A7" t="s">
        <v>129</v>
      </c>
      <c r="B7" s="1">
        <v>45713</v>
      </c>
      <c r="C7" s="1" t="s">
        <v>23</v>
      </c>
      <c r="D7" t="str">
        <f>_xlfn.XLOOKUP(C7,Company_table[Company_Name],Company_table[Company_ID])</f>
        <v>C003</v>
      </c>
      <c r="E7" t="s">
        <v>40</v>
      </c>
      <c r="F7" t="str">
        <f>_xlfn.XLOOKUP(E7,Account_table[Account_Name],Account_table[Account_ID])</f>
        <v>A004</v>
      </c>
      <c r="G7" t="s">
        <v>74</v>
      </c>
      <c r="H7" t="str">
        <f>_xlfn.XLOOKUP(G7,Cust_Vend_table[Party_Name],Cust_Vend_table[Party_ID])</f>
        <v>P007</v>
      </c>
      <c r="I7" t="s">
        <v>90</v>
      </c>
      <c r="J7" t="str">
        <f>_xlfn.XLOOKUP(I7,Dept_table[Department_Name],Dept_table[Department_ID])</f>
        <v>D004</v>
      </c>
      <c r="K7" t="s">
        <v>102</v>
      </c>
      <c r="L7" t="str">
        <f>_xlfn.XLOOKUP(K7,Payment_table[Payment_Mode],Payment_table[Payment_Mode_ID])</f>
        <v>PM03</v>
      </c>
      <c r="M7" t="s">
        <v>130</v>
      </c>
      <c r="N7" t="s">
        <v>131</v>
      </c>
      <c r="O7" s="3">
        <v>20413</v>
      </c>
      <c r="P7" s="3">
        <v>3674.34</v>
      </c>
      <c r="Q7" s="3">
        <v>24087.34</v>
      </c>
      <c r="R7" t="s">
        <v>116</v>
      </c>
    </row>
    <row r="8" spans="1:18" x14ac:dyDescent="0.3">
      <c r="A8" t="s">
        <v>132</v>
      </c>
      <c r="B8" s="1">
        <v>45871</v>
      </c>
      <c r="C8" s="1" t="s">
        <v>14</v>
      </c>
      <c r="D8" t="str">
        <f>_xlfn.XLOOKUP(C8,Company_table[Company_Name],Company_table[Company_ID])</f>
        <v>C001</v>
      </c>
      <c r="E8" t="s">
        <v>31</v>
      </c>
      <c r="F8" t="str">
        <f>_xlfn.XLOOKUP(E8,Account_table[Account_Name],Account_table[Account_ID])</f>
        <v>A001</v>
      </c>
      <c r="G8" t="s">
        <v>57</v>
      </c>
      <c r="H8" t="str">
        <f>_xlfn.XLOOKUP(G8,Cust_Vend_table[Party_Name],Cust_Vend_table[Party_ID])</f>
        <v>P001</v>
      </c>
      <c r="I8" t="s">
        <v>90</v>
      </c>
      <c r="J8" t="str">
        <f>_xlfn.XLOOKUP(I8,Dept_table[Department_Name],Dept_table[Department_ID])</f>
        <v>D004</v>
      </c>
      <c r="K8" t="s">
        <v>104</v>
      </c>
      <c r="L8" t="str">
        <f>_xlfn.XLOOKUP(K8,Payment_table[Payment_Mode],Payment_table[Payment_Mode_ID])</f>
        <v>PM04</v>
      </c>
      <c r="M8" t="s">
        <v>133</v>
      </c>
      <c r="N8" t="s">
        <v>134</v>
      </c>
      <c r="O8" s="3">
        <v>42991</v>
      </c>
      <c r="P8" s="3">
        <v>7738.38</v>
      </c>
      <c r="Q8" s="3">
        <v>50729.38</v>
      </c>
      <c r="R8" t="s">
        <v>135</v>
      </c>
    </row>
    <row r="9" spans="1:18" x14ac:dyDescent="0.3">
      <c r="A9" t="s">
        <v>136</v>
      </c>
      <c r="B9" s="1">
        <v>45932</v>
      </c>
      <c r="C9" s="1" t="s">
        <v>23</v>
      </c>
      <c r="D9" t="str">
        <f>_xlfn.XLOOKUP(C9,Company_table[Company_Name],Company_table[Company_ID])</f>
        <v>C003</v>
      </c>
      <c r="E9" t="s">
        <v>51</v>
      </c>
      <c r="F9" t="str">
        <f>_xlfn.XLOOKUP(E9,Account_table[Account_Name],Account_table[Account_ID])</f>
        <v>A008</v>
      </c>
      <c r="G9" t="s">
        <v>72</v>
      </c>
      <c r="H9" t="str">
        <f>_xlfn.XLOOKUP(G9,Cust_Vend_table[Party_Name],Cust_Vend_table[Party_ID])</f>
        <v>P006</v>
      </c>
      <c r="I9" t="s">
        <v>87</v>
      </c>
      <c r="J9" t="str">
        <f>_xlfn.XLOOKUP(I9,Dept_table[Department_Name],Dept_table[Department_ID])</f>
        <v>D003</v>
      </c>
      <c r="K9" t="s">
        <v>98</v>
      </c>
      <c r="L9" t="str">
        <f>_xlfn.XLOOKUP(K9,Payment_table[Payment_Mode],Payment_table[Payment_Mode_ID])</f>
        <v>PM01</v>
      </c>
      <c r="M9" t="s">
        <v>137</v>
      </c>
      <c r="N9" t="s">
        <v>138</v>
      </c>
      <c r="O9" s="3">
        <v>6555</v>
      </c>
      <c r="P9" s="3">
        <v>1179.9000000000001</v>
      </c>
      <c r="Q9" s="3">
        <v>7734.9</v>
      </c>
      <c r="R9" t="s">
        <v>116</v>
      </c>
    </row>
    <row r="10" spans="1:18" x14ac:dyDescent="0.3">
      <c r="A10" t="s">
        <v>139</v>
      </c>
      <c r="B10" s="1">
        <v>46056</v>
      </c>
      <c r="C10" s="1" t="s">
        <v>19</v>
      </c>
      <c r="D10" t="str">
        <f>_xlfn.XLOOKUP(C10,Company_table[Company_Name],Company_table[Company_ID])</f>
        <v>C002</v>
      </c>
      <c r="E10" t="s">
        <v>40</v>
      </c>
      <c r="F10" t="str">
        <f>_xlfn.XLOOKUP(E10,Account_table[Account_Name],Account_table[Account_ID])</f>
        <v>A004</v>
      </c>
      <c r="G10" t="s">
        <v>72</v>
      </c>
      <c r="H10" t="str">
        <f>_xlfn.XLOOKUP(G10,Cust_Vend_table[Party_Name],Cust_Vend_table[Party_ID])</f>
        <v>P006</v>
      </c>
      <c r="I10" t="s">
        <v>87</v>
      </c>
      <c r="J10" t="str">
        <f>_xlfn.XLOOKUP(I10,Dept_table[Department_Name],Dept_table[Department_ID])</f>
        <v>D003</v>
      </c>
      <c r="K10" t="s">
        <v>98</v>
      </c>
      <c r="L10" t="str">
        <f>_xlfn.XLOOKUP(K10,Payment_table[Payment_Mode],Payment_table[Payment_Mode_ID])</f>
        <v>PM01</v>
      </c>
      <c r="M10" t="s">
        <v>140</v>
      </c>
      <c r="N10" t="s">
        <v>141</v>
      </c>
      <c r="O10" s="3">
        <v>34793</v>
      </c>
      <c r="P10" s="3">
        <v>6262.74</v>
      </c>
      <c r="Q10" s="3">
        <v>41055.74</v>
      </c>
      <c r="R10" t="s">
        <v>116</v>
      </c>
    </row>
    <row r="11" spans="1:18" x14ac:dyDescent="0.3">
      <c r="A11" t="s">
        <v>142</v>
      </c>
      <c r="B11" s="1">
        <v>45933</v>
      </c>
      <c r="C11" s="1" t="s">
        <v>14</v>
      </c>
      <c r="D11" t="str">
        <f>_xlfn.XLOOKUP(C11,Company_table[Company_Name],Company_table[Company_ID])</f>
        <v>C001</v>
      </c>
      <c r="E11" t="s">
        <v>31</v>
      </c>
      <c r="F11" t="str">
        <f>_xlfn.XLOOKUP(E11,Account_table[Account_Name],Account_table[Account_ID])</f>
        <v>A001</v>
      </c>
      <c r="G11" t="s">
        <v>62</v>
      </c>
      <c r="H11" t="str">
        <f>_xlfn.XLOOKUP(G11,Cust_Vend_table[Party_Name],Cust_Vend_table[Party_ID])</f>
        <v>P003</v>
      </c>
      <c r="I11" t="s">
        <v>84</v>
      </c>
      <c r="J11" t="str">
        <f>_xlfn.XLOOKUP(I11,Dept_table[Department_Name],Dept_table[Department_ID])</f>
        <v>D002</v>
      </c>
      <c r="K11" t="s">
        <v>104</v>
      </c>
      <c r="L11" t="str">
        <f>_xlfn.XLOOKUP(K11,Payment_table[Payment_Mode],Payment_table[Payment_Mode_ID])</f>
        <v>PM04</v>
      </c>
      <c r="M11" t="s">
        <v>143</v>
      </c>
      <c r="N11" t="s">
        <v>144</v>
      </c>
      <c r="O11" s="3">
        <v>14893</v>
      </c>
      <c r="P11" s="3">
        <v>2680.74</v>
      </c>
      <c r="Q11" s="3">
        <v>17573.740000000002</v>
      </c>
      <c r="R11" t="s">
        <v>135</v>
      </c>
    </row>
    <row r="12" spans="1:18" x14ac:dyDescent="0.3">
      <c r="A12" t="s">
        <v>145</v>
      </c>
      <c r="B12" s="1">
        <v>45726</v>
      </c>
      <c r="C12" s="1" t="s">
        <v>23</v>
      </c>
      <c r="D12" t="str">
        <f>_xlfn.XLOOKUP(C12,Company_table[Company_Name],Company_table[Company_ID])</f>
        <v>C003</v>
      </c>
      <c r="E12" t="s">
        <v>40</v>
      </c>
      <c r="F12" t="str">
        <f>_xlfn.XLOOKUP(E12,Account_table[Account_Name],Account_table[Account_ID])</f>
        <v>A004</v>
      </c>
      <c r="G12" t="s">
        <v>74</v>
      </c>
      <c r="H12" t="str">
        <f>_xlfn.XLOOKUP(G12,Cust_Vend_table[Party_Name],Cust_Vend_table[Party_ID])</f>
        <v>P007</v>
      </c>
      <c r="I12" t="s">
        <v>84</v>
      </c>
      <c r="J12" t="str">
        <f>_xlfn.XLOOKUP(I12,Dept_table[Department_Name],Dept_table[Department_ID])</f>
        <v>D002</v>
      </c>
      <c r="K12" t="s">
        <v>100</v>
      </c>
      <c r="L12" t="str">
        <f>_xlfn.XLOOKUP(K12,Payment_table[Payment_Mode],Payment_table[Payment_Mode_ID])</f>
        <v>PM02</v>
      </c>
      <c r="M12" t="s">
        <v>146</v>
      </c>
      <c r="N12" t="s">
        <v>147</v>
      </c>
      <c r="O12" s="3">
        <v>17703</v>
      </c>
      <c r="P12" s="3">
        <v>3186.54</v>
      </c>
      <c r="Q12" s="3">
        <v>20889.54</v>
      </c>
      <c r="R12" t="s">
        <v>116</v>
      </c>
    </row>
    <row r="13" spans="1:18" x14ac:dyDescent="0.3">
      <c r="A13" t="s">
        <v>148</v>
      </c>
      <c r="B13" s="1">
        <v>45807</v>
      </c>
      <c r="C13" s="1" t="s">
        <v>23</v>
      </c>
      <c r="D13" t="str">
        <f>_xlfn.XLOOKUP(C13,Company_table[Company_Name],Company_table[Company_ID])</f>
        <v>C003</v>
      </c>
      <c r="E13" t="s">
        <v>47</v>
      </c>
      <c r="F13" t="str">
        <f>_xlfn.XLOOKUP(E13,Account_table[Account_Name],Account_table[Account_ID])</f>
        <v>A006</v>
      </c>
      <c r="G13" t="s">
        <v>72</v>
      </c>
      <c r="H13" t="str">
        <f>_xlfn.XLOOKUP(G13,Cust_Vend_table[Party_Name],Cust_Vend_table[Party_ID])</f>
        <v>P006</v>
      </c>
      <c r="I13" t="s">
        <v>81</v>
      </c>
      <c r="J13" t="str">
        <f>_xlfn.XLOOKUP(I13,Dept_table[Department_Name],Dept_table[Department_ID])</f>
        <v>D001</v>
      </c>
      <c r="K13" t="s">
        <v>104</v>
      </c>
      <c r="L13" t="str">
        <f>_xlfn.XLOOKUP(K13,Payment_table[Payment_Mode],Payment_table[Payment_Mode_ID])</f>
        <v>PM04</v>
      </c>
      <c r="M13" t="s">
        <v>149</v>
      </c>
      <c r="N13" t="s">
        <v>150</v>
      </c>
      <c r="O13" s="3">
        <v>42059</v>
      </c>
      <c r="P13" s="3">
        <v>7570.62</v>
      </c>
      <c r="Q13" s="3">
        <v>49629.62</v>
      </c>
      <c r="R13" t="s">
        <v>116</v>
      </c>
    </row>
    <row r="14" spans="1:18" x14ac:dyDescent="0.3">
      <c r="A14" t="s">
        <v>151</v>
      </c>
      <c r="B14" s="1">
        <v>45794</v>
      </c>
      <c r="C14" s="1" t="s">
        <v>19</v>
      </c>
      <c r="D14" t="str">
        <f>_xlfn.XLOOKUP(C14,Company_table[Company_Name],Company_table[Company_ID])</f>
        <v>C002</v>
      </c>
      <c r="E14" t="s">
        <v>37</v>
      </c>
      <c r="F14" t="str">
        <f>_xlfn.XLOOKUP(E14,Account_table[Account_Name],Account_table[Account_ID])</f>
        <v>A003</v>
      </c>
      <c r="G14" t="s">
        <v>57</v>
      </c>
      <c r="H14" t="str">
        <f>_xlfn.XLOOKUP(G14,Cust_Vend_table[Party_Name],Cust_Vend_table[Party_ID])</f>
        <v>P001</v>
      </c>
      <c r="I14" t="s">
        <v>93</v>
      </c>
      <c r="J14" t="str">
        <f>_xlfn.XLOOKUP(I14,Dept_table[Department_Name],Dept_table[Department_ID])</f>
        <v>D005</v>
      </c>
      <c r="K14" t="s">
        <v>100</v>
      </c>
      <c r="L14" t="str">
        <f>_xlfn.XLOOKUP(K14,Payment_table[Payment_Mode],Payment_table[Payment_Mode_ID])</f>
        <v>PM02</v>
      </c>
      <c r="M14" t="s">
        <v>152</v>
      </c>
      <c r="N14" t="s">
        <v>153</v>
      </c>
      <c r="O14" s="3">
        <v>13932</v>
      </c>
      <c r="P14" s="3">
        <v>2507.7600000000002</v>
      </c>
      <c r="Q14" s="3">
        <v>16439.759999999998</v>
      </c>
      <c r="R14" t="s">
        <v>135</v>
      </c>
    </row>
    <row r="15" spans="1:18" x14ac:dyDescent="0.3">
      <c r="A15" t="s">
        <v>154</v>
      </c>
      <c r="B15" s="1">
        <v>45974</v>
      </c>
      <c r="C15" s="1" t="s">
        <v>23</v>
      </c>
      <c r="D15" t="str">
        <f>_xlfn.XLOOKUP(C15,Company_table[Company_Name],Company_table[Company_ID])</f>
        <v>C003</v>
      </c>
      <c r="E15" t="s">
        <v>51</v>
      </c>
      <c r="F15" t="str">
        <f>_xlfn.XLOOKUP(E15,Account_table[Account_Name],Account_table[Account_ID])</f>
        <v>A008</v>
      </c>
      <c r="G15" t="s">
        <v>72</v>
      </c>
      <c r="H15" t="str">
        <f>_xlfn.XLOOKUP(G15,Cust_Vend_table[Party_Name],Cust_Vend_table[Party_ID])</f>
        <v>P006</v>
      </c>
      <c r="I15" t="s">
        <v>81</v>
      </c>
      <c r="J15" t="str">
        <f>_xlfn.XLOOKUP(I15,Dept_table[Department_Name],Dept_table[Department_ID])</f>
        <v>D001</v>
      </c>
      <c r="K15" t="s">
        <v>104</v>
      </c>
      <c r="L15" t="str">
        <f>_xlfn.XLOOKUP(K15,Payment_table[Payment_Mode],Payment_table[Payment_Mode_ID])</f>
        <v>PM04</v>
      </c>
      <c r="M15" t="s">
        <v>155</v>
      </c>
      <c r="N15" t="s">
        <v>156</v>
      </c>
      <c r="O15" s="3">
        <v>35386</v>
      </c>
      <c r="P15" s="3">
        <v>6369.48</v>
      </c>
      <c r="Q15" s="3">
        <v>41755.480000000003</v>
      </c>
      <c r="R15" t="s">
        <v>116</v>
      </c>
    </row>
    <row r="16" spans="1:18" x14ac:dyDescent="0.3">
      <c r="A16" t="s">
        <v>157</v>
      </c>
      <c r="B16" s="1">
        <v>45787</v>
      </c>
      <c r="C16" s="1" t="s">
        <v>14</v>
      </c>
      <c r="D16" t="str">
        <f>_xlfn.XLOOKUP(C16,Company_table[Company_Name],Company_table[Company_ID])</f>
        <v>C001</v>
      </c>
      <c r="E16" t="s">
        <v>31</v>
      </c>
      <c r="F16" t="str">
        <f>_xlfn.XLOOKUP(E16,Account_table[Account_Name],Account_table[Account_ID])</f>
        <v>A001</v>
      </c>
      <c r="G16" t="s">
        <v>57</v>
      </c>
      <c r="H16" t="str">
        <f>_xlfn.XLOOKUP(G16,Cust_Vend_table[Party_Name],Cust_Vend_table[Party_ID])</f>
        <v>P001</v>
      </c>
      <c r="I16" t="s">
        <v>84</v>
      </c>
      <c r="J16" t="str">
        <f>_xlfn.XLOOKUP(I16,Dept_table[Department_Name],Dept_table[Department_ID])</f>
        <v>D002</v>
      </c>
      <c r="K16" t="s">
        <v>100</v>
      </c>
      <c r="L16" t="str">
        <f>_xlfn.XLOOKUP(K16,Payment_table[Payment_Mode],Payment_table[Payment_Mode_ID])</f>
        <v>PM02</v>
      </c>
      <c r="M16" t="s">
        <v>158</v>
      </c>
      <c r="N16" t="s">
        <v>159</v>
      </c>
      <c r="O16" s="3">
        <v>26468</v>
      </c>
      <c r="P16" s="3">
        <v>4764.24</v>
      </c>
      <c r="Q16" s="3">
        <v>31232.240000000002</v>
      </c>
      <c r="R16" t="s">
        <v>135</v>
      </c>
    </row>
    <row r="17" spans="1:18" x14ac:dyDescent="0.3">
      <c r="A17" t="s">
        <v>160</v>
      </c>
      <c r="B17" s="1">
        <v>45804</v>
      </c>
      <c r="C17" s="1" t="s">
        <v>14</v>
      </c>
      <c r="D17" t="str">
        <f>_xlfn.XLOOKUP(C17,Company_table[Company_Name],Company_table[Company_ID])</f>
        <v>C001</v>
      </c>
      <c r="E17" t="s">
        <v>35</v>
      </c>
      <c r="F17" t="str">
        <f>_xlfn.XLOOKUP(E17,Account_table[Account_Name],Account_table[Account_ID])</f>
        <v>A002</v>
      </c>
      <c r="G17" t="s">
        <v>60</v>
      </c>
      <c r="H17" t="str">
        <f>_xlfn.XLOOKUP(G17,Cust_Vend_table[Party_Name],Cust_Vend_table[Party_ID])</f>
        <v>P002</v>
      </c>
      <c r="I17" t="s">
        <v>90</v>
      </c>
      <c r="J17" t="str">
        <f>_xlfn.XLOOKUP(I17,Dept_table[Department_Name],Dept_table[Department_ID])</f>
        <v>D004</v>
      </c>
      <c r="K17" t="s">
        <v>104</v>
      </c>
      <c r="L17" t="str">
        <f>_xlfn.XLOOKUP(K17,Payment_table[Payment_Mode],Payment_table[Payment_Mode_ID])</f>
        <v>PM04</v>
      </c>
      <c r="M17" t="s">
        <v>161</v>
      </c>
      <c r="N17" t="s">
        <v>162</v>
      </c>
      <c r="O17" s="3">
        <v>23025</v>
      </c>
      <c r="P17" s="3">
        <v>4144.5</v>
      </c>
      <c r="Q17" s="3">
        <v>27169.5</v>
      </c>
      <c r="R17" t="s">
        <v>135</v>
      </c>
    </row>
    <row r="18" spans="1:18" x14ac:dyDescent="0.3">
      <c r="A18" t="s">
        <v>163</v>
      </c>
      <c r="B18" s="1">
        <v>45897</v>
      </c>
      <c r="C18" s="1" t="s">
        <v>19</v>
      </c>
      <c r="D18" t="str">
        <f>_xlfn.XLOOKUP(C18,Company_table[Company_Name],Company_table[Company_ID])</f>
        <v>C002</v>
      </c>
      <c r="E18" t="s">
        <v>37</v>
      </c>
      <c r="F18" t="str">
        <f>_xlfn.XLOOKUP(E18,Account_table[Account_Name],Account_table[Account_ID])</f>
        <v>A003</v>
      </c>
      <c r="G18" t="s">
        <v>62</v>
      </c>
      <c r="H18" t="str">
        <f>_xlfn.XLOOKUP(G18,Cust_Vend_table[Party_Name],Cust_Vend_table[Party_ID])</f>
        <v>P003</v>
      </c>
      <c r="I18" t="s">
        <v>93</v>
      </c>
      <c r="J18" t="str">
        <f>_xlfn.XLOOKUP(I18,Dept_table[Department_Name],Dept_table[Department_ID])</f>
        <v>D005</v>
      </c>
      <c r="K18" t="s">
        <v>98</v>
      </c>
      <c r="L18" t="str">
        <f>_xlfn.XLOOKUP(K18,Payment_table[Payment_Mode],Payment_table[Payment_Mode_ID])</f>
        <v>PM01</v>
      </c>
      <c r="M18" t="s">
        <v>164</v>
      </c>
      <c r="N18" t="s">
        <v>165</v>
      </c>
      <c r="O18" s="3">
        <v>20522</v>
      </c>
      <c r="P18" s="3">
        <v>3693.96</v>
      </c>
      <c r="Q18" s="3">
        <v>24215.96</v>
      </c>
      <c r="R18" t="s">
        <v>135</v>
      </c>
    </row>
    <row r="19" spans="1:18" x14ac:dyDescent="0.3">
      <c r="A19" t="s">
        <v>166</v>
      </c>
      <c r="B19" s="1">
        <v>45870</v>
      </c>
      <c r="C19" s="1" t="s">
        <v>19</v>
      </c>
      <c r="D19" t="str">
        <f>_xlfn.XLOOKUP(C19,Company_table[Company_Name],Company_table[Company_ID])</f>
        <v>C002</v>
      </c>
      <c r="E19" t="s">
        <v>51</v>
      </c>
      <c r="F19" t="str">
        <f>_xlfn.XLOOKUP(E19,Account_table[Account_Name],Account_table[Account_ID])</f>
        <v>A008</v>
      </c>
      <c r="G19" t="s">
        <v>69</v>
      </c>
      <c r="H19" t="str">
        <f>_xlfn.XLOOKUP(G19,Cust_Vend_table[Party_Name],Cust_Vend_table[Party_ID])</f>
        <v>P005</v>
      </c>
      <c r="I19" t="s">
        <v>84</v>
      </c>
      <c r="J19" t="str">
        <f>_xlfn.XLOOKUP(I19,Dept_table[Department_Name],Dept_table[Department_ID])</f>
        <v>D002</v>
      </c>
      <c r="K19" t="s">
        <v>104</v>
      </c>
      <c r="L19" t="str">
        <f>_xlfn.XLOOKUP(K19,Payment_table[Payment_Mode],Payment_table[Payment_Mode_ID])</f>
        <v>PM04</v>
      </c>
      <c r="M19" t="s">
        <v>167</v>
      </c>
      <c r="N19" t="s">
        <v>168</v>
      </c>
      <c r="O19" s="3">
        <v>37496</v>
      </c>
      <c r="P19" s="3">
        <v>6749.28</v>
      </c>
      <c r="Q19" s="3">
        <v>44245.279999999999</v>
      </c>
      <c r="R19" t="s">
        <v>116</v>
      </c>
    </row>
    <row r="20" spans="1:18" x14ac:dyDescent="0.3">
      <c r="A20" t="s">
        <v>169</v>
      </c>
      <c r="B20" s="1">
        <v>45946</v>
      </c>
      <c r="C20" s="1" t="s">
        <v>19</v>
      </c>
      <c r="D20" t="str">
        <f>_xlfn.XLOOKUP(C20,Company_table[Company_Name],Company_table[Company_ID])</f>
        <v>C002</v>
      </c>
      <c r="E20" t="s">
        <v>49</v>
      </c>
      <c r="F20" t="str">
        <f>_xlfn.XLOOKUP(E20,Account_table[Account_Name],Account_table[Account_ID])</f>
        <v>A007</v>
      </c>
      <c r="G20" t="s">
        <v>69</v>
      </c>
      <c r="H20" t="str">
        <f>_xlfn.XLOOKUP(G20,Cust_Vend_table[Party_Name],Cust_Vend_table[Party_ID])</f>
        <v>P005</v>
      </c>
      <c r="I20" t="s">
        <v>93</v>
      </c>
      <c r="J20" t="str">
        <f>_xlfn.XLOOKUP(I20,Dept_table[Department_Name],Dept_table[Department_ID])</f>
        <v>D005</v>
      </c>
      <c r="K20" t="s">
        <v>98</v>
      </c>
      <c r="L20" t="str">
        <f>_xlfn.XLOOKUP(K20,Payment_table[Payment_Mode],Payment_table[Payment_Mode_ID])</f>
        <v>PM01</v>
      </c>
      <c r="M20" t="s">
        <v>170</v>
      </c>
      <c r="N20" t="s">
        <v>171</v>
      </c>
      <c r="O20" s="3">
        <v>16472</v>
      </c>
      <c r="P20" s="3">
        <v>2964.96</v>
      </c>
      <c r="Q20" s="3">
        <v>19436.96</v>
      </c>
      <c r="R20" t="s">
        <v>116</v>
      </c>
    </row>
    <row r="21" spans="1:18" x14ac:dyDescent="0.3">
      <c r="A21" t="s">
        <v>172</v>
      </c>
      <c r="B21" s="1">
        <v>45687</v>
      </c>
      <c r="C21" s="1" t="s">
        <v>23</v>
      </c>
      <c r="D21" t="str">
        <f>_xlfn.XLOOKUP(C21,Company_table[Company_Name],Company_table[Company_ID])</f>
        <v>C003</v>
      </c>
      <c r="E21" t="s">
        <v>40</v>
      </c>
      <c r="F21" t="str">
        <f>_xlfn.XLOOKUP(E21,Account_table[Account_Name],Account_table[Account_ID])</f>
        <v>A004</v>
      </c>
      <c r="G21" t="s">
        <v>76</v>
      </c>
      <c r="H21" t="str">
        <f>_xlfn.XLOOKUP(G21,Cust_Vend_table[Party_Name],Cust_Vend_table[Party_ID])</f>
        <v>P008</v>
      </c>
      <c r="I21" t="s">
        <v>90</v>
      </c>
      <c r="J21" t="str">
        <f>_xlfn.XLOOKUP(I21,Dept_table[Department_Name],Dept_table[Department_ID])</f>
        <v>D004</v>
      </c>
      <c r="K21" t="s">
        <v>102</v>
      </c>
      <c r="L21" t="str">
        <f>_xlfn.XLOOKUP(K21,Payment_table[Payment_Mode],Payment_table[Payment_Mode_ID])</f>
        <v>PM03</v>
      </c>
      <c r="M21" t="s">
        <v>173</v>
      </c>
      <c r="N21" t="s">
        <v>174</v>
      </c>
      <c r="O21" s="3">
        <v>37475</v>
      </c>
      <c r="P21" s="3">
        <v>6745.5</v>
      </c>
      <c r="Q21" s="3">
        <v>44220.5</v>
      </c>
      <c r="R21" t="s">
        <v>116</v>
      </c>
    </row>
    <row r="22" spans="1:18" x14ac:dyDescent="0.3">
      <c r="A22" t="s">
        <v>175</v>
      </c>
      <c r="B22" s="1">
        <v>45889</v>
      </c>
      <c r="C22" s="1" t="s">
        <v>14</v>
      </c>
      <c r="D22" t="str">
        <f>_xlfn.XLOOKUP(C22,Company_table[Company_Name],Company_table[Company_ID])</f>
        <v>C001</v>
      </c>
      <c r="E22" t="s">
        <v>47</v>
      </c>
      <c r="F22" t="str">
        <f>_xlfn.XLOOKUP(E22,Account_table[Account_Name],Account_table[Account_ID])</f>
        <v>A006</v>
      </c>
      <c r="G22" t="s">
        <v>69</v>
      </c>
      <c r="H22" t="str">
        <f>_xlfn.XLOOKUP(G22,Cust_Vend_table[Party_Name],Cust_Vend_table[Party_ID])</f>
        <v>P005</v>
      </c>
      <c r="I22" t="s">
        <v>87</v>
      </c>
      <c r="J22" t="str">
        <f>_xlfn.XLOOKUP(I22,Dept_table[Department_Name],Dept_table[Department_ID])</f>
        <v>D003</v>
      </c>
      <c r="K22" t="s">
        <v>102</v>
      </c>
      <c r="L22" t="str">
        <f>_xlfn.XLOOKUP(K22,Payment_table[Payment_Mode],Payment_table[Payment_Mode_ID])</f>
        <v>PM03</v>
      </c>
      <c r="M22" t="s">
        <v>176</v>
      </c>
      <c r="N22" t="s">
        <v>177</v>
      </c>
      <c r="O22" s="3">
        <v>41691</v>
      </c>
      <c r="P22" s="3">
        <v>7504.38</v>
      </c>
      <c r="Q22" s="3">
        <v>49195.38</v>
      </c>
      <c r="R22" t="s">
        <v>116</v>
      </c>
    </row>
    <row r="23" spans="1:18" x14ac:dyDescent="0.3">
      <c r="A23" t="s">
        <v>178</v>
      </c>
      <c r="B23" s="1">
        <v>45822</v>
      </c>
      <c r="C23" s="1" t="s">
        <v>23</v>
      </c>
      <c r="D23" t="str">
        <f>_xlfn.XLOOKUP(C23,Company_table[Company_Name],Company_table[Company_ID])</f>
        <v>C003</v>
      </c>
      <c r="E23" t="s">
        <v>35</v>
      </c>
      <c r="F23" t="str">
        <f>_xlfn.XLOOKUP(E23,Account_table[Account_Name],Account_table[Account_ID])</f>
        <v>A002</v>
      </c>
      <c r="G23" t="s">
        <v>65</v>
      </c>
      <c r="H23" t="str">
        <f>_xlfn.XLOOKUP(G23,Cust_Vend_table[Party_Name],Cust_Vend_table[Party_ID])</f>
        <v>P004</v>
      </c>
      <c r="I23" t="s">
        <v>84</v>
      </c>
      <c r="J23" t="str">
        <f>_xlfn.XLOOKUP(I23,Dept_table[Department_Name],Dept_table[Department_ID])</f>
        <v>D002</v>
      </c>
      <c r="K23" t="s">
        <v>104</v>
      </c>
      <c r="L23" t="str">
        <f>_xlfn.XLOOKUP(K23,Payment_table[Payment_Mode],Payment_table[Payment_Mode_ID])</f>
        <v>PM04</v>
      </c>
      <c r="M23" t="s">
        <v>179</v>
      </c>
      <c r="N23" t="s">
        <v>180</v>
      </c>
      <c r="O23" s="3">
        <v>46000</v>
      </c>
      <c r="P23" s="3">
        <v>8280</v>
      </c>
      <c r="Q23" s="3">
        <v>54280</v>
      </c>
      <c r="R23" t="s">
        <v>135</v>
      </c>
    </row>
    <row r="24" spans="1:18" x14ac:dyDescent="0.3">
      <c r="A24" t="s">
        <v>181</v>
      </c>
      <c r="B24" s="1">
        <v>45674</v>
      </c>
      <c r="C24" s="1" t="s">
        <v>23</v>
      </c>
      <c r="D24" t="str">
        <f>_xlfn.XLOOKUP(C24,Company_table[Company_Name],Company_table[Company_ID])</f>
        <v>C003</v>
      </c>
      <c r="E24" t="s">
        <v>35</v>
      </c>
      <c r="F24" t="str">
        <f>_xlfn.XLOOKUP(E24,Account_table[Account_Name],Account_table[Account_ID])</f>
        <v>A002</v>
      </c>
      <c r="G24" t="s">
        <v>62</v>
      </c>
      <c r="H24" t="str">
        <f>_xlfn.XLOOKUP(G24,Cust_Vend_table[Party_Name],Cust_Vend_table[Party_ID])</f>
        <v>P003</v>
      </c>
      <c r="I24" t="s">
        <v>90</v>
      </c>
      <c r="J24" t="str">
        <f>_xlfn.XLOOKUP(I24,Dept_table[Department_Name],Dept_table[Department_ID])</f>
        <v>D004</v>
      </c>
      <c r="K24" t="s">
        <v>102</v>
      </c>
      <c r="L24" t="str">
        <f>_xlfn.XLOOKUP(K24,Payment_table[Payment_Mode],Payment_table[Payment_Mode_ID])</f>
        <v>PM03</v>
      </c>
      <c r="M24" t="s">
        <v>182</v>
      </c>
      <c r="N24" t="s">
        <v>183</v>
      </c>
      <c r="O24" s="3">
        <v>13902</v>
      </c>
      <c r="P24" s="3">
        <v>2502.36</v>
      </c>
      <c r="Q24" s="3">
        <v>16404.36</v>
      </c>
      <c r="R24" t="s">
        <v>135</v>
      </c>
    </row>
    <row r="25" spans="1:18" x14ac:dyDescent="0.3">
      <c r="A25" t="s">
        <v>184</v>
      </c>
      <c r="B25" s="1">
        <v>45876</v>
      </c>
      <c r="C25" s="1" t="s">
        <v>14</v>
      </c>
      <c r="D25" t="str">
        <f>_xlfn.XLOOKUP(C25,Company_table[Company_Name],Company_table[Company_ID])</f>
        <v>C001</v>
      </c>
      <c r="E25" t="s">
        <v>51</v>
      </c>
      <c r="F25" t="str">
        <f>_xlfn.XLOOKUP(E25,Account_table[Account_Name],Account_table[Account_ID])</f>
        <v>A008</v>
      </c>
      <c r="G25" t="s">
        <v>69</v>
      </c>
      <c r="H25" t="str">
        <f>_xlfn.XLOOKUP(G25,Cust_Vend_table[Party_Name],Cust_Vend_table[Party_ID])</f>
        <v>P005</v>
      </c>
      <c r="I25" t="s">
        <v>84</v>
      </c>
      <c r="J25" t="str">
        <f>_xlfn.XLOOKUP(I25,Dept_table[Department_Name],Dept_table[Department_ID])</f>
        <v>D002</v>
      </c>
      <c r="K25" t="s">
        <v>100</v>
      </c>
      <c r="L25" t="str">
        <f>_xlfn.XLOOKUP(K25,Payment_table[Payment_Mode],Payment_table[Payment_Mode_ID])</f>
        <v>PM02</v>
      </c>
      <c r="M25" t="s">
        <v>185</v>
      </c>
      <c r="N25" t="s">
        <v>186</v>
      </c>
      <c r="O25" s="3">
        <v>43926</v>
      </c>
      <c r="P25" s="3">
        <v>7906.68</v>
      </c>
      <c r="Q25" s="3">
        <v>51832.68</v>
      </c>
      <c r="R25" t="s">
        <v>116</v>
      </c>
    </row>
    <row r="26" spans="1:18" x14ac:dyDescent="0.3">
      <c r="A26" t="s">
        <v>187</v>
      </c>
      <c r="B26" s="1">
        <v>46008</v>
      </c>
      <c r="C26" s="1" t="s">
        <v>14</v>
      </c>
      <c r="D26" t="str">
        <f>_xlfn.XLOOKUP(C26,Company_table[Company_Name],Company_table[Company_ID])</f>
        <v>C001</v>
      </c>
      <c r="E26" t="s">
        <v>37</v>
      </c>
      <c r="F26" t="str">
        <f>_xlfn.XLOOKUP(E26,Account_table[Account_Name],Account_table[Account_ID])</f>
        <v>A003</v>
      </c>
      <c r="G26" t="s">
        <v>62</v>
      </c>
      <c r="H26" t="str">
        <f>_xlfn.XLOOKUP(G26,Cust_Vend_table[Party_Name],Cust_Vend_table[Party_ID])</f>
        <v>P003</v>
      </c>
      <c r="I26" t="s">
        <v>90</v>
      </c>
      <c r="J26" t="str">
        <f>_xlfn.XLOOKUP(I26,Dept_table[Department_Name],Dept_table[Department_ID])</f>
        <v>D004</v>
      </c>
      <c r="K26" t="s">
        <v>102</v>
      </c>
      <c r="L26" t="str">
        <f>_xlfn.XLOOKUP(K26,Payment_table[Payment_Mode],Payment_table[Payment_Mode_ID])</f>
        <v>PM03</v>
      </c>
      <c r="M26" t="s">
        <v>188</v>
      </c>
      <c r="N26" t="s">
        <v>189</v>
      </c>
      <c r="O26" s="3">
        <v>32565</v>
      </c>
      <c r="P26" s="3">
        <v>5861.7</v>
      </c>
      <c r="Q26" s="3">
        <v>38426.699999999997</v>
      </c>
      <c r="R26" t="s">
        <v>135</v>
      </c>
    </row>
    <row r="27" spans="1:18" x14ac:dyDescent="0.3">
      <c r="A27" t="s">
        <v>190</v>
      </c>
      <c r="B27" s="1">
        <v>45721</v>
      </c>
      <c r="C27" s="1" t="s">
        <v>19</v>
      </c>
      <c r="D27" t="str">
        <f>_xlfn.XLOOKUP(C27,Company_table[Company_Name],Company_table[Company_ID])</f>
        <v>C002</v>
      </c>
      <c r="E27" t="s">
        <v>31</v>
      </c>
      <c r="F27" t="str">
        <f>_xlfn.XLOOKUP(E27,Account_table[Account_Name],Account_table[Account_ID])</f>
        <v>A001</v>
      </c>
      <c r="G27" t="s">
        <v>57</v>
      </c>
      <c r="H27" t="str">
        <f>_xlfn.XLOOKUP(G27,Cust_Vend_table[Party_Name],Cust_Vend_table[Party_ID])</f>
        <v>P001</v>
      </c>
      <c r="I27" t="s">
        <v>87</v>
      </c>
      <c r="J27" t="str">
        <f>_xlfn.XLOOKUP(I27,Dept_table[Department_Name],Dept_table[Department_ID])</f>
        <v>D003</v>
      </c>
      <c r="K27" t="s">
        <v>102</v>
      </c>
      <c r="L27" t="str">
        <f>_xlfn.XLOOKUP(K27,Payment_table[Payment_Mode],Payment_table[Payment_Mode_ID])</f>
        <v>PM03</v>
      </c>
      <c r="M27" t="s">
        <v>191</v>
      </c>
      <c r="N27" t="s">
        <v>192</v>
      </c>
      <c r="O27" s="3">
        <v>18432</v>
      </c>
      <c r="P27" s="3">
        <v>3317.76</v>
      </c>
      <c r="Q27" s="3">
        <v>21749.759999999998</v>
      </c>
      <c r="R27" t="s">
        <v>135</v>
      </c>
    </row>
    <row r="28" spans="1:18" x14ac:dyDescent="0.3">
      <c r="A28" t="s">
        <v>193</v>
      </c>
      <c r="B28" s="1">
        <v>45780</v>
      </c>
      <c r="C28" s="1" t="s">
        <v>23</v>
      </c>
      <c r="D28" t="str">
        <f>_xlfn.XLOOKUP(C28,Company_table[Company_Name],Company_table[Company_ID])</f>
        <v>C003</v>
      </c>
      <c r="E28" t="s">
        <v>47</v>
      </c>
      <c r="F28" t="str">
        <f>_xlfn.XLOOKUP(E28,Account_table[Account_Name],Account_table[Account_ID])</f>
        <v>A006</v>
      </c>
      <c r="G28" t="s">
        <v>72</v>
      </c>
      <c r="H28" t="str">
        <f>_xlfn.XLOOKUP(G28,Cust_Vend_table[Party_Name],Cust_Vend_table[Party_ID])</f>
        <v>P006</v>
      </c>
      <c r="I28" t="s">
        <v>93</v>
      </c>
      <c r="J28" t="str">
        <f>_xlfn.XLOOKUP(I28,Dept_table[Department_Name],Dept_table[Department_ID])</f>
        <v>D005</v>
      </c>
      <c r="K28" t="s">
        <v>102</v>
      </c>
      <c r="L28" t="str">
        <f>_xlfn.XLOOKUP(K28,Payment_table[Payment_Mode],Payment_table[Payment_Mode_ID])</f>
        <v>PM03</v>
      </c>
      <c r="M28" t="s">
        <v>194</v>
      </c>
      <c r="N28" t="s">
        <v>195</v>
      </c>
      <c r="O28" s="3">
        <v>19073</v>
      </c>
      <c r="P28" s="3">
        <v>3433.14</v>
      </c>
      <c r="Q28" s="3">
        <v>22506.14</v>
      </c>
      <c r="R28" t="s">
        <v>116</v>
      </c>
    </row>
    <row r="29" spans="1:18" x14ac:dyDescent="0.3">
      <c r="A29" t="s">
        <v>196</v>
      </c>
      <c r="B29" s="1">
        <v>45959</v>
      </c>
      <c r="C29" s="1" t="s">
        <v>23</v>
      </c>
      <c r="D29" t="str">
        <f>_xlfn.XLOOKUP(C29,Company_table[Company_Name],Company_table[Company_ID])</f>
        <v>C003</v>
      </c>
      <c r="E29" t="s">
        <v>31</v>
      </c>
      <c r="F29" t="str">
        <f>_xlfn.XLOOKUP(E29,Account_table[Account_Name],Account_table[Account_ID])</f>
        <v>A001</v>
      </c>
      <c r="G29" t="s">
        <v>62</v>
      </c>
      <c r="H29" t="str">
        <f>_xlfn.XLOOKUP(G29,Cust_Vend_table[Party_Name],Cust_Vend_table[Party_ID])</f>
        <v>P003</v>
      </c>
      <c r="I29" t="s">
        <v>84</v>
      </c>
      <c r="J29" t="str">
        <f>_xlfn.XLOOKUP(I29,Dept_table[Department_Name],Dept_table[Department_ID])</f>
        <v>D002</v>
      </c>
      <c r="K29" t="s">
        <v>100</v>
      </c>
      <c r="L29" t="str">
        <f>_xlfn.XLOOKUP(K29,Payment_table[Payment_Mode],Payment_table[Payment_Mode_ID])</f>
        <v>PM02</v>
      </c>
      <c r="M29" t="s">
        <v>197</v>
      </c>
      <c r="N29" t="s">
        <v>198</v>
      </c>
      <c r="O29" s="3">
        <v>44913</v>
      </c>
      <c r="P29" s="3">
        <v>8084.34</v>
      </c>
      <c r="Q29" s="3">
        <v>52997.34</v>
      </c>
      <c r="R29" t="s">
        <v>135</v>
      </c>
    </row>
    <row r="30" spans="1:18" x14ac:dyDescent="0.3">
      <c r="A30" t="s">
        <v>199</v>
      </c>
      <c r="B30" s="1">
        <v>45909</v>
      </c>
      <c r="C30" s="1" t="s">
        <v>14</v>
      </c>
      <c r="D30" t="str">
        <f>_xlfn.XLOOKUP(C30,Company_table[Company_Name],Company_table[Company_ID])</f>
        <v>C001</v>
      </c>
      <c r="E30" t="s">
        <v>44</v>
      </c>
      <c r="F30" t="str">
        <f>_xlfn.XLOOKUP(E30,Account_table[Account_Name],Account_table[Account_ID])</f>
        <v>A005</v>
      </c>
      <c r="G30" t="s">
        <v>74</v>
      </c>
      <c r="H30" t="str">
        <f>_xlfn.XLOOKUP(G30,Cust_Vend_table[Party_Name],Cust_Vend_table[Party_ID])</f>
        <v>P007</v>
      </c>
      <c r="I30" t="s">
        <v>90</v>
      </c>
      <c r="J30" t="str">
        <f>_xlfn.XLOOKUP(I30,Dept_table[Department_Name],Dept_table[Department_ID])</f>
        <v>D004</v>
      </c>
      <c r="K30" t="s">
        <v>104</v>
      </c>
      <c r="L30" t="str">
        <f>_xlfn.XLOOKUP(K30,Payment_table[Payment_Mode],Payment_table[Payment_Mode_ID])</f>
        <v>PM04</v>
      </c>
      <c r="M30" t="s">
        <v>200</v>
      </c>
      <c r="N30" t="s">
        <v>201</v>
      </c>
      <c r="O30" s="3">
        <v>12270</v>
      </c>
      <c r="P30" s="3">
        <v>2208.6</v>
      </c>
      <c r="Q30" s="3">
        <v>14478.6</v>
      </c>
      <c r="R30" t="s">
        <v>116</v>
      </c>
    </row>
    <row r="31" spans="1:18" x14ac:dyDescent="0.3">
      <c r="A31" t="s">
        <v>202</v>
      </c>
      <c r="B31" s="1">
        <v>45960</v>
      </c>
      <c r="C31" s="1" t="s">
        <v>23</v>
      </c>
      <c r="D31" t="str">
        <f>_xlfn.XLOOKUP(C31,Company_table[Company_Name],Company_table[Company_ID])</f>
        <v>C003</v>
      </c>
      <c r="E31" t="s">
        <v>49</v>
      </c>
      <c r="F31" t="str">
        <f>_xlfn.XLOOKUP(E31,Account_table[Account_Name],Account_table[Account_ID])</f>
        <v>A007</v>
      </c>
      <c r="G31" t="s">
        <v>76</v>
      </c>
      <c r="H31" t="str">
        <f>_xlfn.XLOOKUP(G31,Cust_Vend_table[Party_Name],Cust_Vend_table[Party_ID])</f>
        <v>P008</v>
      </c>
      <c r="I31" t="s">
        <v>90</v>
      </c>
      <c r="J31" t="str">
        <f>_xlfn.XLOOKUP(I31,Dept_table[Department_Name],Dept_table[Department_ID])</f>
        <v>D004</v>
      </c>
      <c r="K31" t="s">
        <v>102</v>
      </c>
      <c r="L31" t="str">
        <f>_xlfn.XLOOKUP(K31,Payment_table[Payment_Mode],Payment_table[Payment_Mode_ID])</f>
        <v>PM03</v>
      </c>
      <c r="M31" t="s">
        <v>203</v>
      </c>
      <c r="N31" t="s">
        <v>204</v>
      </c>
      <c r="O31" s="3">
        <v>19968</v>
      </c>
      <c r="P31" s="3">
        <v>3594.24</v>
      </c>
      <c r="Q31" s="3">
        <v>23562.240000000002</v>
      </c>
      <c r="R31" t="s">
        <v>116</v>
      </c>
    </row>
    <row r="32" spans="1:18" x14ac:dyDescent="0.3">
      <c r="A32" t="s">
        <v>205</v>
      </c>
      <c r="B32" s="1">
        <v>45867</v>
      </c>
      <c r="C32" s="1" t="s">
        <v>23</v>
      </c>
      <c r="D32" t="str">
        <f>_xlfn.XLOOKUP(C32,Company_table[Company_Name],Company_table[Company_ID])</f>
        <v>C003</v>
      </c>
      <c r="E32" t="s">
        <v>37</v>
      </c>
      <c r="F32" t="str">
        <f>_xlfn.XLOOKUP(E32,Account_table[Account_Name],Account_table[Account_ID])</f>
        <v>A003</v>
      </c>
      <c r="G32" t="s">
        <v>57</v>
      </c>
      <c r="H32" t="str">
        <f>_xlfn.XLOOKUP(G32,Cust_Vend_table[Party_Name],Cust_Vend_table[Party_ID])</f>
        <v>P001</v>
      </c>
      <c r="I32" t="s">
        <v>87</v>
      </c>
      <c r="J32" t="str">
        <f>_xlfn.XLOOKUP(I32,Dept_table[Department_Name],Dept_table[Department_ID])</f>
        <v>D003</v>
      </c>
      <c r="K32" t="s">
        <v>102</v>
      </c>
      <c r="L32" t="str">
        <f>_xlfn.XLOOKUP(K32,Payment_table[Payment_Mode],Payment_table[Payment_Mode_ID])</f>
        <v>PM03</v>
      </c>
      <c r="M32" t="s">
        <v>206</v>
      </c>
      <c r="N32" t="s">
        <v>207</v>
      </c>
      <c r="O32" s="3">
        <v>2641</v>
      </c>
      <c r="P32" s="3">
        <v>475.38</v>
      </c>
      <c r="Q32" s="3">
        <v>3116.38</v>
      </c>
      <c r="R32" t="s">
        <v>135</v>
      </c>
    </row>
    <row r="33" spans="1:18" x14ac:dyDescent="0.3">
      <c r="A33" t="s">
        <v>208</v>
      </c>
      <c r="B33" s="1">
        <v>45941</v>
      </c>
      <c r="C33" s="1" t="s">
        <v>23</v>
      </c>
      <c r="D33" t="str">
        <f>_xlfn.XLOOKUP(C33,Company_table[Company_Name],Company_table[Company_ID])</f>
        <v>C003</v>
      </c>
      <c r="E33" t="s">
        <v>51</v>
      </c>
      <c r="F33" t="str">
        <f>_xlfn.XLOOKUP(E33,Account_table[Account_Name],Account_table[Account_ID])</f>
        <v>A008</v>
      </c>
      <c r="G33" t="s">
        <v>72</v>
      </c>
      <c r="H33" t="str">
        <f>_xlfn.XLOOKUP(G33,Cust_Vend_table[Party_Name],Cust_Vend_table[Party_ID])</f>
        <v>P006</v>
      </c>
      <c r="I33" t="s">
        <v>87</v>
      </c>
      <c r="J33" t="str">
        <f>_xlfn.XLOOKUP(I33,Dept_table[Department_Name],Dept_table[Department_ID])</f>
        <v>D003</v>
      </c>
      <c r="K33" t="s">
        <v>102</v>
      </c>
      <c r="L33" t="str">
        <f>_xlfn.XLOOKUP(K33,Payment_table[Payment_Mode],Payment_table[Payment_Mode_ID])</f>
        <v>PM03</v>
      </c>
      <c r="M33" t="s">
        <v>209</v>
      </c>
      <c r="N33" t="s">
        <v>210</v>
      </c>
      <c r="O33" s="3">
        <v>28591</v>
      </c>
      <c r="P33" s="3">
        <v>5146.38</v>
      </c>
      <c r="Q33" s="3">
        <v>33737.379999999997</v>
      </c>
      <c r="R33" t="s">
        <v>116</v>
      </c>
    </row>
    <row r="34" spans="1:18" x14ac:dyDescent="0.3">
      <c r="A34" t="s">
        <v>211</v>
      </c>
      <c r="B34" s="1">
        <v>45867</v>
      </c>
      <c r="C34" s="1" t="s">
        <v>14</v>
      </c>
      <c r="D34" t="str">
        <f>_xlfn.XLOOKUP(C34,Company_table[Company_Name],Company_table[Company_ID])</f>
        <v>C001</v>
      </c>
      <c r="E34" t="s">
        <v>37</v>
      </c>
      <c r="F34" t="str">
        <f>_xlfn.XLOOKUP(E34,Account_table[Account_Name],Account_table[Account_ID])</f>
        <v>A003</v>
      </c>
      <c r="G34" t="s">
        <v>65</v>
      </c>
      <c r="H34" t="str">
        <f>_xlfn.XLOOKUP(G34,Cust_Vend_table[Party_Name],Cust_Vend_table[Party_ID])</f>
        <v>P004</v>
      </c>
      <c r="I34" t="s">
        <v>84</v>
      </c>
      <c r="J34" t="str">
        <f>_xlfn.XLOOKUP(I34,Dept_table[Department_Name],Dept_table[Department_ID])</f>
        <v>D002</v>
      </c>
      <c r="K34" t="s">
        <v>102</v>
      </c>
      <c r="L34" t="str">
        <f>_xlfn.XLOOKUP(K34,Payment_table[Payment_Mode],Payment_table[Payment_Mode_ID])</f>
        <v>PM03</v>
      </c>
      <c r="M34" t="s">
        <v>212</v>
      </c>
      <c r="N34" t="s">
        <v>213</v>
      </c>
      <c r="O34" s="3">
        <v>35460</v>
      </c>
      <c r="P34" s="3">
        <v>6382.8</v>
      </c>
      <c r="Q34" s="3">
        <v>41842.800000000003</v>
      </c>
      <c r="R34" t="s">
        <v>135</v>
      </c>
    </row>
    <row r="35" spans="1:18" x14ac:dyDescent="0.3">
      <c r="A35" t="s">
        <v>214</v>
      </c>
      <c r="B35" s="1">
        <v>45673</v>
      </c>
      <c r="C35" s="1" t="s">
        <v>23</v>
      </c>
      <c r="D35" t="str">
        <f>_xlfn.XLOOKUP(C35,Company_table[Company_Name],Company_table[Company_ID])</f>
        <v>C003</v>
      </c>
      <c r="E35" t="s">
        <v>49</v>
      </c>
      <c r="F35" t="str">
        <f>_xlfn.XLOOKUP(E35,Account_table[Account_Name],Account_table[Account_ID])</f>
        <v>A007</v>
      </c>
      <c r="G35" t="s">
        <v>74</v>
      </c>
      <c r="H35" t="str">
        <f>_xlfn.XLOOKUP(G35,Cust_Vend_table[Party_Name],Cust_Vend_table[Party_ID])</f>
        <v>P007</v>
      </c>
      <c r="I35" t="s">
        <v>93</v>
      </c>
      <c r="J35" t="str">
        <f>_xlfn.XLOOKUP(I35,Dept_table[Department_Name],Dept_table[Department_ID])</f>
        <v>D005</v>
      </c>
      <c r="K35" t="s">
        <v>98</v>
      </c>
      <c r="L35" t="str">
        <f>_xlfn.XLOOKUP(K35,Payment_table[Payment_Mode],Payment_table[Payment_Mode_ID])</f>
        <v>PM01</v>
      </c>
      <c r="M35" t="s">
        <v>215</v>
      </c>
      <c r="N35" t="s">
        <v>216</v>
      </c>
      <c r="O35" s="3">
        <v>24200</v>
      </c>
      <c r="P35" s="3">
        <v>4356</v>
      </c>
      <c r="Q35" s="3">
        <v>28556</v>
      </c>
      <c r="R35" t="s">
        <v>116</v>
      </c>
    </row>
    <row r="36" spans="1:18" x14ac:dyDescent="0.3">
      <c r="A36" t="s">
        <v>217</v>
      </c>
      <c r="B36" s="1">
        <v>46015</v>
      </c>
      <c r="C36" s="1" t="s">
        <v>19</v>
      </c>
      <c r="D36" t="str">
        <f>_xlfn.XLOOKUP(C36,Company_table[Company_Name],Company_table[Company_ID])</f>
        <v>C002</v>
      </c>
      <c r="E36" t="s">
        <v>40</v>
      </c>
      <c r="F36" t="str">
        <f>_xlfn.XLOOKUP(E36,Account_table[Account_Name],Account_table[Account_ID])</f>
        <v>A004</v>
      </c>
      <c r="G36" t="s">
        <v>72</v>
      </c>
      <c r="H36" t="str">
        <f>_xlfn.XLOOKUP(G36,Cust_Vend_table[Party_Name],Cust_Vend_table[Party_ID])</f>
        <v>P006</v>
      </c>
      <c r="I36" t="s">
        <v>81</v>
      </c>
      <c r="J36" t="str">
        <f>_xlfn.XLOOKUP(I36,Dept_table[Department_Name],Dept_table[Department_ID])</f>
        <v>D001</v>
      </c>
      <c r="K36" t="s">
        <v>98</v>
      </c>
      <c r="L36" t="str">
        <f>_xlfn.XLOOKUP(K36,Payment_table[Payment_Mode],Payment_table[Payment_Mode_ID])</f>
        <v>PM01</v>
      </c>
      <c r="M36" t="s">
        <v>218</v>
      </c>
      <c r="N36" t="s">
        <v>219</v>
      </c>
      <c r="O36" s="3">
        <v>12927</v>
      </c>
      <c r="P36" s="3">
        <v>2326.86</v>
      </c>
      <c r="Q36" s="3">
        <v>15253.86</v>
      </c>
      <c r="R36" t="s">
        <v>116</v>
      </c>
    </row>
    <row r="37" spans="1:18" x14ac:dyDescent="0.3">
      <c r="A37" t="s">
        <v>220</v>
      </c>
      <c r="B37" s="1">
        <v>45885</v>
      </c>
      <c r="C37" s="1" t="s">
        <v>14</v>
      </c>
      <c r="D37" t="str">
        <f>_xlfn.XLOOKUP(C37,Company_table[Company_Name],Company_table[Company_ID])</f>
        <v>C001</v>
      </c>
      <c r="E37" t="s">
        <v>44</v>
      </c>
      <c r="F37" t="str">
        <f>_xlfn.XLOOKUP(E37,Account_table[Account_Name],Account_table[Account_ID])</f>
        <v>A005</v>
      </c>
      <c r="G37" t="s">
        <v>72</v>
      </c>
      <c r="H37" t="str">
        <f>_xlfn.XLOOKUP(G37,Cust_Vend_table[Party_Name],Cust_Vend_table[Party_ID])</f>
        <v>P006</v>
      </c>
      <c r="I37" t="s">
        <v>81</v>
      </c>
      <c r="J37" t="str">
        <f>_xlfn.XLOOKUP(I37,Dept_table[Department_Name],Dept_table[Department_ID])</f>
        <v>D001</v>
      </c>
      <c r="K37" t="s">
        <v>104</v>
      </c>
      <c r="L37" t="str">
        <f>_xlfn.XLOOKUP(K37,Payment_table[Payment_Mode],Payment_table[Payment_Mode_ID])</f>
        <v>PM04</v>
      </c>
      <c r="M37" t="s">
        <v>221</v>
      </c>
      <c r="N37" t="s">
        <v>222</v>
      </c>
      <c r="O37" s="3">
        <v>6318</v>
      </c>
      <c r="P37" s="3">
        <v>1137.24</v>
      </c>
      <c r="Q37" s="3">
        <v>7455.24</v>
      </c>
      <c r="R37" t="s">
        <v>116</v>
      </c>
    </row>
    <row r="38" spans="1:18" x14ac:dyDescent="0.3">
      <c r="A38" t="s">
        <v>223</v>
      </c>
      <c r="B38" s="1">
        <v>45876</v>
      </c>
      <c r="C38" s="1" t="s">
        <v>14</v>
      </c>
      <c r="D38" t="str">
        <f>_xlfn.XLOOKUP(C38,Company_table[Company_Name],Company_table[Company_ID])</f>
        <v>C001</v>
      </c>
      <c r="E38" t="s">
        <v>37</v>
      </c>
      <c r="F38" t="str">
        <f>_xlfn.XLOOKUP(E38,Account_table[Account_Name],Account_table[Account_ID])</f>
        <v>A003</v>
      </c>
      <c r="G38" t="s">
        <v>65</v>
      </c>
      <c r="H38" t="str">
        <f>_xlfn.XLOOKUP(G38,Cust_Vend_table[Party_Name],Cust_Vend_table[Party_ID])</f>
        <v>P004</v>
      </c>
      <c r="I38" t="s">
        <v>90</v>
      </c>
      <c r="J38" t="str">
        <f>_xlfn.XLOOKUP(I38,Dept_table[Department_Name],Dept_table[Department_ID])</f>
        <v>D004</v>
      </c>
      <c r="K38" t="s">
        <v>104</v>
      </c>
      <c r="L38" t="str">
        <f>_xlfn.XLOOKUP(K38,Payment_table[Payment_Mode],Payment_table[Payment_Mode_ID])</f>
        <v>PM04</v>
      </c>
      <c r="M38" t="s">
        <v>224</v>
      </c>
      <c r="N38" t="s">
        <v>225</v>
      </c>
      <c r="O38" s="3">
        <v>25494</v>
      </c>
      <c r="P38" s="3">
        <v>4588.92</v>
      </c>
      <c r="Q38" s="3">
        <v>30082.92</v>
      </c>
      <c r="R38" t="s">
        <v>135</v>
      </c>
    </row>
    <row r="39" spans="1:18" x14ac:dyDescent="0.3">
      <c r="A39" t="s">
        <v>226</v>
      </c>
      <c r="B39" s="1">
        <v>45919</v>
      </c>
      <c r="C39" s="1" t="s">
        <v>23</v>
      </c>
      <c r="D39" t="str">
        <f>_xlfn.XLOOKUP(C39,Company_table[Company_Name],Company_table[Company_ID])</f>
        <v>C003</v>
      </c>
      <c r="E39" t="s">
        <v>37</v>
      </c>
      <c r="F39" t="str">
        <f>_xlfn.XLOOKUP(E39,Account_table[Account_Name],Account_table[Account_ID])</f>
        <v>A003</v>
      </c>
      <c r="G39" t="s">
        <v>57</v>
      </c>
      <c r="H39" t="str">
        <f>_xlfn.XLOOKUP(G39,Cust_Vend_table[Party_Name],Cust_Vend_table[Party_ID])</f>
        <v>P001</v>
      </c>
      <c r="I39" t="s">
        <v>90</v>
      </c>
      <c r="J39" t="str">
        <f>_xlfn.XLOOKUP(I39,Dept_table[Department_Name],Dept_table[Department_ID])</f>
        <v>D004</v>
      </c>
      <c r="K39" t="s">
        <v>100</v>
      </c>
      <c r="L39" t="str">
        <f>_xlfn.XLOOKUP(K39,Payment_table[Payment_Mode],Payment_table[Payment_Mode_ID])</f>
        <v>PM02</v>
      </c>
      <c r="M39" t="s">
        <v>227</v>
      </c>
      <c r="N39" t="s">
        <v>228</v>
      </c>
      <c r="O39" s="3">
        <v>49369</v>
      </c>
      <c r="P39" s="3">
        <v>8886.42</v>
      </c>
      <c r="Q39" s="3">
        <v>58255.42</v>
      </c>
      <c r="R39" t="s">
        <v>135</v>
      </c>
    </row>
    <row r="40" spans="1:18" x14ac:dyDescent="0.3">
      <c r="A40" t="s">
        <v>229</v>
      </c>
      <c r="B40" s="1">
        <v>45897</v>
      </c>
      <c r="C40" s="1" t="s">
        <v>19</v>
      </c>
      <c r="D40" t="str">
        <f>_xlfn.XLOOKUP(C40,Company_table[Company_Name],Company_table[Company_ID])</f>
        <v>C002</v>
      </c>
      <c r="E40" t="s">
        <v>44</v>
      </c>
      <c r="F40" t="str">
        <f>_xlfn.XLOOKUP(E40,Account_table[Account_Name],Account_table[Account_ID])</f>
        <v>A005</v>
      </c>
      <c r="G40" t="s">
        <v>74</v>
      </c>
      <c r="H40" t="str">
        <f>_xlfn.XLOOKUP(G40,Cust_Vend_table[Party_Name],Cust_Vend_table[Party_ID])</f>
        <v>P007</v>
      </c>
      <c r="I40" t="s">
        <v>90</v>
      </c>
      <c r="J40" t="str">
        <f>_xlfn.XLOOKUP(I40,Dept_table[Department_Name],Dept_table[Department_ID])</f>
        <v>D004</v>
      </c>
      <c r="K40" t="s">
        <v>100</v>
      </c>
      <c r="L40" t="str">
        <f>_xlfn.XLOOKUP(K40,Payment_table[Payment_Mode],Payment_table[Payment_Mode_ID])</f>
        <v>PM02</v>
      </c>
      <c r="M40" t="s">
        <v>230</v>
      </c>
      <c r="N40" t="s">
        <v>231</v>
      </c>
      <c r="O40" s="3">
        <v>46582</v>
      </c>
      <c r="P40" s="3">
        <v>8384.76</v>
      </c>
      <c r="Q40" s="3">
        <v>54966.76</v>
      </c>
      <c r="R40" t="s">
        <v>116</v>
      </c>
    </row>
    <row r="41" spans="1:18" x14ac:dyDescent="0.3">
      <c r="A41" t="s">
        <v>232</v>
      </c>
      <c r="B41" s="1">
        <v>45727</v>
      </c>
      <c r="C41" s="1" t="s">
        <v>23</v>
      </c>
      <c r="D41" t="str">
        <f>_xlfn.XLOOKUP(C41,Company_table[Company_Name],Company_table[Company_ID])</f>
        <v>C003</v>
      </c>
      <c r="E41" t="s">
        <v>47</v>
      </c>
      <c r="F41" t="str">
        <f>_xlfn.XLOOKUP(E41,Account_table[Account_Name],Account_table[Account_ID])</f>
        <v>A006</v>
      </c>
      <c r="G41" t="s">
        <v>69</v>
      </c>
      <c r="H41" t="str">
        <f>_xlfn.XLOOKUP(G41,Cust_Vend_table[Party_Name],Cust_Vend_table[Party_ID])</f>
        <v>P005</v>
      </c>
      <c r="I41" t="s">
        <v>93</v>
      </c>
      <c r="J41" t="str">
        <f>_xlfn.XLOOKUP(I41,Dept_table[Department_Name],Dept_table[Department_ID])</f>
        <v>D005</v>
      </c>
      <c r="K41" t="s">
        <v>104</v>
      </c>
      <c r="L41" t="str">
        <f>_xlfn.XLOOKUP(K41,Payment_table[Payment_Mode],Payment_table[Payment_Mode_ID])</f>
        <v>PM04</v>
      </c>
      <c r="M41" t="s">
        <v>233</v>
      </c>
      <c r="N41" t="s">
        <v>234</v>
      </c>
      <c r="O41" s="3">
        <v>7339</v>
      </c>
      <c r="P41" s="3">
        <v>1321.02</v>
      </c>
      <c r="Q41" s="3">
        <v>8660.02</v>
      </c>
      <c r="R41" t="s">
        <v>116</v>
      </c>
    </row>
    <row r="42" spans="1:18" x14ac:dyDescent="0.3">
      <c r="A42" t="s">
        <v>235</v>
      </c>
      <c r="B42" s="1">
        <v>46077</v>
      </c>
      <c r="C42" s="1" t="s">
        <v>14</v>
      </c>
      <c r="D42" t="str">
        <f>_xlfn.XLOOKUP(C42,Company_table[Company_Name],Company_table[Company_ID])</f>
        <v>C001</v>
      </c>
      <c r="E42" t="s">
        <v>35</v>
      </c>
      <c r="F42" t="str">
        <f>_xlfn.XLOOKUP(E42,Account_table[Account_Name],Account_table[Account_ID])</f>
        <v>A002</v>
      </c>
      <c r="G42" t="s">
        <v>65</v>
      </c>
      <c r="H42" t="str">
        <f>_xlfn.XLOOKUP(G42,Cust_Vend_table[Party_Name],Cust_Vend_table[Party_ID])</f>
        <v>P004</v>
      </c>
      <c r="I42" t="s">
        <v>87</v>
      </c>
      <c r="J42" t="str">
        <f>_xlfn.XLOOKUP(I42,Dept_table[Department_Name],Dept_table[Department_ID])</f>
        <v>D003</v>
      </c>
      <c r="K42" t="s">
        <v>102</v>
      </c>
      <c r="L42" t="str">
        <f>_xlfn.XLOOKUP(K42,Payment_table[Payment_Mode],Payment_table[Payment_Mode_ID])</f>
        <v>PM03</v>
      </c>
      <c r="M42" t="s">
        <v>236</v>
      </c>
      <c r="N42" t="s">
        <v>237</v>
      </c>
      <c r="O42" s="3">
        <v>23180</v>
      </c>
      <c r="P42" s="3">
        <v>4172.3999999999996</v>
      </c>
      <c r="Q42" s="3">
        <v>27352.400000000001</v>
      </c>
      <c r="R42" t="s">
        <v>135</v>
      </c>
    </row>
    <row r="43" spans="1:18" x14ac:dyDescent="0.3">
      <c r="A43" t="s">
        <v>238</v>
      </c>
      <c r="B43" s="1">
        <v>45824</v>
      </c>
      <c r="C43" s="1" t="s">
        <v>23</v>
      </c>
      <c r="D43" t="str">
        <f>_xlfn.XLOOKUP(C43,Company_table[Company_Name],Company_table[Company_ID])</f>
        <v>C003</v>
      </c>
      <c r="E43" t="s">
        <v>35</v>
      </c>
      <c r="F43" t="str">
        <f>_xlfn.XLOOKUP(E43,Account_table[Account_Name],Account_table[Account_ID])</f>
        <v>A002</v>
      </c>
      <c r="G43" t="s">
        <v>60</v>
      </c>
      <c r="H43" t="str">
        <f>_xlfn.XLOOKUP(G43,Cust_Vend_table[Party_Name],Cust_Vend_table[Party_ID])</f>
        <v>P002</v>
      </c>
      <c r="I43" t="s">
        <v>84</v>
      </c>
      <c r="J43" t="str">
        <f>_xlfn.XLOOKUP(I43,Dept_table[Department_Name],Dept_table[Department_ID])</f>
        <v>D002</v>
      </c>
      <c r="K43" t="s">
        <v>102</v>
      </c>
      <c r="L43" t="str">
        <f>_xlfn.XLOOKUP(K43,Payment_table[Payment_Mode],Payment_table[Payment_Mode_ID])</f>
        <v>PM03</v>
      </c>
      <c r="M43" t="s">
        <v>239</v>
      </c>
      <c r="N43" t="s">
        <v>240</v>
      </c>
      <c r="O43" s="3">
        <v>4834</v>
      </c>
      <c r="P43" s="3">
        <v>870.12</v>
      </c>
      <c r="Q43" s="3">
        <v>5704.12</v>
      </c>
      <c r="R43" t="s">
        <v>135</v>
      </c>
    </row>
    <row r="44" spans="1:18" x14ac:dyDescent="0.3">
      <c r="A44" t="s">
        <v>241</v>
      </c>
      <c r="B44" s="1">
        <v>46057</v>
      </c>
      <c r="C44" s="1" t="s">
        <v>23</v>
      </c>
      <c r="D44" t="str">
        <f>_xlfn.XLOOKUP(C44,Company_table[Company_Name],Company_table[Company_ID])</f>
        <v>C003</v>
      </c>
      <c r="E44" t="s">
        <v>31</v>
      </c>
      <c r="F44" t="str">
        <f>_xlfn.XLOOKUP(E44,Account_table[Account_Name],Account_table[Account_ID])</f>
        <v>A001</v>
      </c>
      <c r="G44" t="s">
        <v>65</v>
      </c>
      <c r="H44" t="str">
        <f>_xlfn.XLOOKUP(G44,Cust_Vend_table[Party_Name],Cust_Vend_table[Party_ID])</f>
        <v>P004</v>
      </c>
      <c r="I44" t="s">
        <v>81</v>
      </c>
      <c r="J44" t="str">
        <f>_xlfn.XLOOKUP(I44,Dept_table[Department_Name],Dept_table[Department_ID])</f>
        <v>D001</v>
      </c>
      <c r="K44" t="s">
        <v>100</v>
      </c>
      <c r="L44" t="str">
        <f>_xlfn.XLOOKUP(K44,Payment_table[Payment_Mode],Payment_table[Payment_Mode_ID])</f>
        <v>PM02</v>
      </c>
      <c r="M44" t="s">
        <v>242</v>
      </c>
      <c r="N44" t="s">
        <v>243</v>
      </c>
      <c r="O44" s="3">
        <v>36986</v>
      </c>
      <c r="P44" s="3">
        <v>6657.48</v>
      </c>
      <c r="Q44" s="3">
        <v>43643.48</v>
      </c>
      <c r="R44" t="s">
        <v>135</v>
      </c>
    </row>
    <row r="45" spans="1:18" x14ac:dyDescent="0.3">
      <c r="A45" t="s">
        <v>244</v>
      </c>
      <c r="B45" s="1">
        <v>45927</v>
      </c>
      <c r="C45" s="1" t="s">
        <v>14</v>
      </c>
      <c r="D45" t="str">
        <f>_xlfn.XLOOKUP(C45,Company_table[Company_Name],Company_table[Company_ID])</f>
        <v>C001</v>
      </c>
      <c r="E45" t="s">
        <v>35</v>
      </c>
      <c r="F45" t="str">
        <f>_xlfn.XLOOKUP(E45,Account_table[Account_Name],Account_table[Account_ID])</f>
        <v>A002</v>
      </c>
      <c r="G45" t="s">
        <v>65</v>
      </c>
      <c r="H45" t="str">
        <f>_xlfn.XLOOKUP(G45,Cust_Vend_table[Party_Name],Cust_Vend_table[Party_ID])</f>
        <v>P004</v>
      </c>
      <c r="I45" t="s">
        <v>84</v>
      </c>
      <c r="J45" t="str">
        <f>_xlfn.XLOOKUP(I45,Dept_table[Department_Name],Dept_table[Department_ID])</f>
        <v>D002</v>
      </c>
      <c r="K45" t="s">
        <v>102</v>
      </c>
      <c r="L45" t="str">
        <f>_xlfn.XLOOKUP(K45,Payment_table[Payment_Mode],Payment_table[Payment_Mode_ID])</f>
        <v>PM03</v>
      </c>
      <c r="M45" t="s">
        <v>245</v>
      </c>
      <c r="N45" t="s">
        <v>246</v>
      </c>
      <c r="O45" s="3">
        <v>3514</v>
      </c>
      <c r="P45" s="3">
        <v>632.52</v>
      </c>
      <c r="Q45" s="3">
        <v>4146.5200000000004</v>
      </c>
      <c r="R45" t="s">
        <v>135</v>
      </c>
    </row>
    <row r="46" spans="1:18" x14ac:dyDescent="0.3">
      <c r="A46" t="s">
        <v>247</v>
      </c>
      <c r="B46" s="1">
        <v>45777</v>
      </c>
      <c r="C46" s="1" t="s">
        <v>19</v>
      </c>
      <c r="D46" t="str">
        <f>_xlfn.XLOOKUP(C46,Company_table[Company_Name],Company_table[Company_ID])</f>
        <v>C002</v>
      </c>
      <c r="E46" t="s">
        <v>44</v>
      </c>
      <c r="F46" t="str">
        <f>_xlfn.XLOOKUP(E46,Account_table[Account_Name],Account_table[Account_ID])</f>
        <v>A005</v>
      </c>
      <c r="G46" t="s">
        <v>74</v>
      </c>
      <c r="H46" t="str">
        <f>_xlfn.XLOOKUP(G46,Cust_Vend_table[Party_Name],Cust_Vend_table[Party_ID])</f>
        <v>P007</v>
      </c>
      <c r="I46" t="s">
        <v>87</v>
      </c>
      <c r="J46" t="str">
        <f>_xlfn.XLOOKUP(I46,Dept_table[Department_Name],Dept_table[Department_ID])</f>
        <v>D003</v>
      </c>
      <c r="K46" t="s">
        <v>100</v>
      </c>
      <c r="L46" t="str">
        <f>_xlfn.XLOOKUP(K46,Payment_table[Payment_Mode],Payment_table[Payment_Mode_ID])</f>
        <v>PM02</v>
      </c>
      <c r="M46" t="s">
        <v>248</v>
      </c>
      <c r="N46" t="s">
        <v>249</v>
      </c>
      <c r="O46" s="3">
        <v>40812</v>
      </c>
      <c r="P46" s="3">
        <v>7346.16</v>
      </c>
      <c r="Q46" s="3">
        <v>48158.16</v>
      </c>
      <c r="R46" t="s">
        <v>116</v>
      </c>
    </row>
    <row r="47" spans="1:18" x14ac:dyDescent="0.3">
      <c r="A47" t="s">
        <v>250</v>
      </c>
      <c r="B47" s="1">
        <v>45775</v>
      </c>
      <c r="C47" s="1" t="s">
        <v>14</v>
      </c>
      <c r="D47" t="str">
        <f>_xlfn.XLOOKUP(C47,Company_table[Company_Name],Company_table[Company_ID])</f>
        <v>C001</v>
      </c>
      <c r="E47" t="s">
        <v>49</v>
      </c>
      <c r="F47" t="str">
        <f>_xlfn.XLOOKUP(E47,Account_table[Account_Name],Account_table[Account_ID])</f>
        <v>A007</v>
      </c>
      <c r="G47" t="s">
        <v>72</v>
      </c>
      <c r="H47" t="str">
        <f>_xlfn.XLOOKUP(G47,Cust_Vend_table[Party_Name],Cust_Vend_table[Party_ID])</f>
        <v>P006</v>
      </c>
      <c r="I47" t="s">
        <v>81</v>
      </c>
      <c r="J47" t="str">
        <f>_xlfn.XLOOKUP(I47,Dept_table[Department_Name],Dept_table[Department_ID])</f>
        <v>D001</v>
      </c>
      <c r="K47" t="s">
        <v>102</v>
      </c>
      <c r="L47" t="str">
        <f>_xlfn.XLOOKUP(K47,Payment_table[Payment_Mode],Payment_table[Payment_Mode_ID])</f>
        <v>PM03</v>
      </c>
      <c r="M47" t="s">
        <v>251</v>
      </c>
      <c r="N47" t="s">
        <v>252</v>
      </c>
      <c r="O47" s="3">
        <v>23830</v>
      </c>
      <c r="P47" s="3">
        <v>4289.3999999999996</v>
      </c>
      <c r="Q47" s="3">
        <v>28119.4</v>
      </c>
      <c r="R47" t="s">
        <v>116</v>
      </c>
    </row>
    <row r="48" spans="1:18" x14ac:dyDescent="0.3">
      <c r="A48" t="s">
        <v>253</v>
      </c>
      <c r="B48" s="1">
        <v>45909</v>
      </c>
      <c r="C48" s="1" t="s">
        <v>19</v>
      </c>
      <c r="D48" t="str">
        <f>_xlfn.XLOOKUP(C48,Company_table[Company_Name],Company_table[Company_ID])</f>
        <v>C002</v>
      </c>
      <c r="E48" t="s">
        <v>31</v>
      </c>
      <c r="F48" t="str">
        <f>_xlfn.XLOOKUP(E48,Account_table[Account_Name],Account_table[Account_ID])</f>
        <v>A001</v>
      </c>
      <c r="G48" t="s">
        <v>57</v>
      </c>
      <c r="H48" t="str">
        <f>_xlfn.XLOOKUP(G48,Cust_Vend_table[Party_Name],Cust_Vend_table[Party_ID])</f>
        <v>P001</v>
      </c>
      <c r="I48" t="s">
        <v>87</v>
      </c>
      <c r="J48" t="str">
        <f>_xlfn.XLOOKUP(I48,Dept_table[Department_Name],Dept_table[Department_ID])</f>
        <v>D003</v>
      </c>
      <c r="K48" t="s">
        <v>98</v>
      </c>
      <c r="L48" t="str">
        <f>_xlfn.XLOOKUP(K48,Payment_table[Payment_Mode],Payment_table[Payment_Mode_ID])</f>
        <v>PM01</v>
      </c>
      <c r="M48" t="s">
        <v>254</v>
      </c>
      <c r="N48" t="s">
        <v>255</v>
      </c>
      <c r="O48" s="3">
        <v>22346</v>
      </c>
      <c r="P48" s="3">
        <v>4022.28</v>
      </c>
      <c r="Q48" s="3">
        <v>26368.28</v>
      </c>
      <c r="R48" t="s">
        <v>135</v>
      </c>
    </row>
    <row r="49" spans="1:18" x14ac:dyDescent="0.3">
      <c r="A49" t="s">
        <v>256</v>
      </c>
      <c r="B49" s="1">
        <v>46024</v>
      </c>
      <c r="C49" s="1" t="s">
        <v>14</v>
      </c>
      <c r="D49" t="str">
        <f>_xlfn.XLOOKUP(C49,Company_table[Company_Name],Company_table[Company_ID])</f>
        <v>C001</v>
      </c>
      <c r="E49" t="s">
        <v>40</v>
      </c>
      <c r="F49" t="str">
        <f>_xlfn.XLOOKUP(E49,Account_table[Account_Name],Account_table[Account_ID])</f>
        <v>A004</v>
      </c>
      <c r="G49" t="s">
        <v>76</v>
      </c>
      <c r="H49" t="str">
        <f>_xlfn.XLOOKUP(G49,Cust_Vend_table[Party_Name],Cust_Vend_table[Party_ID])</f>
        <v>P008</v>
      </c>
      <c r="I49" t="s">
        <v>90</v>
      </c>
      <c r="J49" t="str">
        <f>_xlfn.XLOOKUP(I49,Dept_table[Department_Name],Dept_table[Department_ID])</f>
        <v>D004</v>
      </c>
      <c r="K49" t="s">
        <v>104</v>
      </c>
      <c r="L49" t="str">
        <f>_xlfn.XLOOKUP(K49,Payment_table[Payment_Mode],Payment_table[Payment_Mode_ID])</f>
        <v>PM04</v>
      </c>
      <c r="M49" t="s">
        <v>257</v>
      </c>
      <c r="N49" t="s">
        <v>258</v>
      </c>
      <c r="O49" s="3">
        <v>29527</v>
      </c>
      <c r="P49" s="3">
        <v>5314.86</v>
      </c>
      <c r="Q49" s="3">
        <v>34841.86</v>
      </c>
      <c r="R49" t="s">
        <v>116</v>
      </c>
    </row>
    <row r="50" spans="1:18" x14ac:dyDescent="0.3">
      <c r="A50" t="s">
        <v>259</v>
      </c>
      <c r="B50" s="1">
        <v>45987</v>
      </c>
      <c r="C50" s="1" t="s">
        <v>19</v>
      </c>
      <c r="D50" t="str">
        <f>_xlfn.XLOOKUP(C50,Company_table[Company_Name],Company_table[Company_ID])</f>
        <v>C002</v>
      </c>
      <c r="E50" t="s">
        <v>40</v>
      </c>
      <c r="F50" t="str">
        <f>_xlfn.XLOOKUP(E50,Account_table[Account_Name],Account_table[Account_ID])</f>
        <v>A004</v>
      </c>
      <c r="G50" t="s">
        <v>76</v>
      </c>
      <c r="H50" t="str">
        <f>_xlfn.XLOOKUP(G50,Cust_Vend_table[Party_Name],Cust_Vend_table[Party_ID])</f>
        <v>P008</v>
      </c>
      <c r="I50" t="s">
        <v>84</v>
      </c>
      <c r="J50" t="str">
        <f>_xlfn.XLOOKUP(I50,Dept_table[Department_Name],Dept_table[Department_ID])</f>
        <v>D002</v>
      </c>
      <c r="K50" t="s">
        <v>100</v>
      </c>
      <c r="L50" t="str">
        <f>_xlfn.XLOOKUP(K50,Payment_table[Payment_Mode],Payment_table[Payment_Mode_ID])</f>
        <v>PM02</v>
      </c>
      <c r="M50" t="s">
        <v>260</v>
      </c>
      <c r="N50" t="s">
        <v>261</v>
      </c>
      <c r="O50" s="3">
        <v>49567</v>
      </c>
      <c r="P50" s="3">
        <v>8922.06</v>
      </c>
      <c r="Q50" s="3">
        <v>58489.06</v>
      </c>
      <c r="R50" t="s">
        <v>116</v>
      </c>
    </row>
    <row r="51" spans="1:18" x14ac:dyDescent="0.3">
      <c r="A51" t="s">
        <v>262</v>
      </c>
      <c r="B51" s="1">
        <v>45870</v>
      </c>
      <c r="C51" s="1" t="s">
        <v>14</v>
      </c>
      <c r="D51" t="str">
        <f>_xlfn.XLOOKUP(C51,Company_table[Company_Name],Company_table[Company_ID])</f>
        <v>C001</v>
      </c>
      <c r="E51" t="s">
        <v>49</v>
      </c>
      <c r="F51" t="str">
        <f>_xlfn.XLOOKUP(E51,Account_table[Account_Name],Account_table[Account_ID])</f>
        <v>A007</v>
      </c>
      <c r="G51" t="s">
        <v>69</v>
      </c>
      <c r="H51" t="str">
        <f>_xlfn.XLOOKUP(G51,Cust_Vend_table[Party_Name],Cust_Vend_table[Party_ID])</f>
        <v>P005</v>
      </c>
      <c r="I51" t="s">
        <v>81</v>
      </c>
      <c r="J51" t="str">
        <f>_xlfn.XLOOKUP(I51,Dept_table[Department_Name],Dept_table[Department_ID])</f>
        <v>D001</v>
      </c>
      <c r="K51" t="s">
        <v>104</v>
      </c>
      <c r="L51" t="str">
        <f>_xlfn.XLOOKUP(K51,Payment_table[Payment_Mode],Payment_table[Payment_Mode_ID])</f>
        <v>PM04</v>
      </c>
      <c r="M51" t="s">
        <v>263</v>
      </c>
      <c r="N51" t="s">
        <v>264</v>
      </c>
      <c r="O51" s="3">
        <v>11760</v>
      </c>
      <c r="P51" s="3">
        <v>2116.8000000000002</v>
      </c>
      <c r="Q51" s="3">
        <v>13876.8</v>
      </c>
      <c r="R51" t="s">
        <v>116</v>
      </c>
    </row>
    <row r="52" spans="1:18" x14ac:dyDescent="0.3">
      <c r="A52" t="s">
        <v>265</v>
      </c>
      <c r="B52" s="1">
        <v>45881</v>
      </c>
      <c r="C52" s="1" t="s">
        <v>23</v>
      </c>
      <c r="D52" t="str">
        <f>_xlfn.XLOOKUP(C52,Company_table[Company_Name],Company_table[Company_ID])</f>
        <v>C003</v>
      </c>
      <c r="E52" t="s">
        <v>40</v>
      </c>
      <c r="F52" t="str">
        <f>_xlfn.XLOOKUP(E52,Account_table[Account_Name],Account_table[Account_ID])</f>
        <v>A004</v>
      </c>
      <c r="G52" t="s">
        <v>72</v>
      </c>
      <c r="H52" t="str">
        <f>_xlfn.XLOOKUP(G52,Cust_Vend_table[Party_Name],Cust_Vend_table[Party_ID])</f>
        <v>P006</v>
      </c>
      <c r="I52" t="s">
        <v>90</v>
      </c>
      <c r="J52" t="str">
        <f>_xlfn.XLOOKUP(I52,Dept_table[Department_Name],Dept_table[Department_ID])</f>
        <v>D004</v>
      </c>
      <c r="K52" t="s">
        <v>98</v>
      </c>
      <c r="L52" t="str">
        <f>_xlfn.XLOOKUP(K52,Payment_table[Payment_Mode],Payment_table[Payment_Mode_ID])</f>
        <v>PM01</v>
      </c>
      <c r="M52" t="s">
        <v>266</v>
      </c>
      <c r="N52" t="s">
        <v>267</v>
      </c>
      <c r="O52" s="3">
        <v>3409</v>
      </c>
      <c r="P52" s="3">
        <v>613.62</v>
      </c>
      <c r="Q52" s="3">
        <v>4022.62</v>
      </c>
      <c r="R52" t="s">
        <v>116</v>
      </c>
    </row>
    <row r="53" spans="1:18" x14ac:dyDescent="0.3">
      <c r="A53" t="s">
        <v>268</v>
      </c>
      <c r="B53" s="1">
        <v>45980</v>
      </c>
      <c r="C53" s="1" t="s">
        <v>14</v>
      </c>
      <c r="D53" t="str">
        <f>_xlfn.XLOOKUP(C53,Company_table[Company_Name],Company_table[Company_ID])</f>
        <v>C001</v>
      </c>
      <c r="E53" t="s">
        <v>35</v>
      </c>
      <c r="F53" t="str">
        <f>_xlfn.XLOOKUP(E53,Account_table[Account_Name],Account_table[Account_ID])</f>
        <v>A002</v>
      </c>
      <c r="G53" t="s">
        <v>65</v>
      </c>
      <c r="H53" t="str">
        <f>_xlfn.XLOOKUP(G53,Cust_Vend_table[Party_Name],Cust_Vend_table[Party_ID])</f>
        <v>P004</v>
      </c>
      <c r="I53" t="s">
        <v>81</v>
      </c>
      <c r="J53" t="str">
        <f>_xlfn.XLOOKUP(I53,Dept_table[Department_Name],Dept_table[Department_ID])</f>
        <v>D001</v>
      </c>
      <c r="K53" t="s">
        <v>104</v>
      </c>
      <c r="L53" t="str">
        <f>_xlfn.XLOOKUP(K53,Payment_table[Payment_Mode],Payment_table[Payment_Mode_ID])</f>
        <v>PM04</v>
      </c>
      <c r="M53" t="s">
        <v>269</v>
      </c>
      <c r="N53" t="s">
        <v>270</v>
      </c>
      <c r="O53" s="3">
        <v>27556</v>
      </c>
      <c r="P53" s="3">
        <v>4960.08</v>
      </c>
      <c r="Q53" s="3">
        <v>32516.080000000002</v>
      </c>
      <c r="R53" t="s">
        <v>135</v>
      </c>
    </row>
    <row r="54" spans="1:18" x14ac:dyDescent="0.3">
      <c r="A54" t="s">
        <v>271</v>
      </c>
      <c r="B54" s="1">
        <v>45786</v>
      </c>
      <c r="C54" s="1" t="s">
        <v>23</v>
      </c>
      <c r="D54" t="str">
        <f>_xlfn.XLOOKUP(C54,Company_table[Company_Name],Company_table[Company_ID])</f>
        <v>C003</v>
      </c>
      <c r="E54" t="s">
        <v>35</v>
      </c>
      <c r="F54" t="str">
        <f>_xlfn.XLOOKUP(E54,Account_table[Account_Name],Account_table[Account_ID])</f>
        <v>A002</v>
      </c>
      <c r="G54" t="s">
        <v>65</v>
      </c>
      <c r="H54" t="str">
        <f>_xlfn.XLOOKUP(G54,Cust_Vend_table[Party_Name],Cust_Vend_table[Party_ID])</f>
        <v>P004</v>
      </c>
      <c r="I54" t="s">
        <v>93</v>
      </c>
      <c r="J54" t="str">
        <f>_xlfn.XLOOKUP(I54,Dept_table[Department_Name],Dept_table[Department_ID])</f>
        <v>D005</v>
      </c>
      <c r="K54" t="s">
        <v>98</v>
      </c>
      <c r="L54" t="str">
        <f>_xlfn.XLOOKUP(K54,Payment_table[Payment_Mode],Payment_table[Payment_Mode_ID])</f>
        <v>PM01</v>
      </c>
      <c r="M54" t="s">
        <v>272</v>
      </c>
      <c r="N54" t="s">
        <v>273</v>
      </c>
      <c r="O54" s="3">
        <v>4387</v>
      </c>
      <c r="P54" s="3">
        <v>789.66</v>
      </c>
      <c r="Q54" s="3">
        <v>5176.66</v>
      </c>
      <c r="R54" t="s">
        <v>135</v>
      </c>
    </row>
    <row r="55" spans="1:18" x14ac:dyDescent="0.3">
      <c r="A55" t="s">
        <v>274</v>
      </c>
      <c r="B55" s="1">
        <v>45903</v>
      </c>
      <c r="C55" s="1" t="s">
        <v>14</v>
      </c>
      <c r="D55" t="str">
        <f>_xlfn.XLOOKUP(C55,Company_table[Company_Name],Company_table[Company_ID])</f>
        <v>C001</v>
      </c>
      <c r="E55" t="s">
        <v>37</v>
      </c>
      <c r="F55" t="str">
        <f>_xlfn.XLOOKUP(E55,Account_table[Account_Name],Account_table[Account_ID])</f>
        <v>A003</v>
      </c>
      <c r="G55" t="s">
        <v>65</v>
      </c>
      <c r="H55" t="str">
        <f>_xlfn.XLOOKUP(G55,Cust_Vend_table[Party_Name],Cust_Vend_table[Party_ID])</f>
        <v>P004</v>
      </c>
      <c r="I55" t="s">
        <v>84</v>
      </c>
      <c r="J55" t="str">
        <f>_xlfn.XLOOKUP(I55,Dept_table[Department_Name],Dept_table[Department_ID])</f>
        <v>D002</v>
      </c>
      <c r="K55" t="s">
        <v>100</v>
      </c>
      <c r="L55" t="str">
        <f>_xlfn.XLOOKUP(K55,Payment_table[Payment_Mode],Payment_table[Payment_Mode_ID])</f>
        <v>PM02</v>
      </c>
      <c r="M55" t="s">
        <v>275</v>
      </c>
      <c r="N55" t="s">
        <v>276</v>
      </c>
      <c r="O55" s="3">
        <v>7477</v>
      </c>
      <c r="P55" s="3">
        <v>1345.86</v>
      </c>
      <c r="Q55" s="3">
        <v>8822.86</v>
      </c>
      <c r="R55" t="s">
        <v>135</v>
      </c>
    </row>
    <row r="56" spans="1:18" x14ac:dyDescent="0.3">
      <c r="A56" t="s">
        <v>277</v>
      </c>
      <c r="B56" s="1">
        <v>45761</v>
      </c>
      <c r="C56" s="1" t="s">
        <v>19</v>
      </c>
      <c r="D56" t="str">
        <f>_xlfn.XLOOKUP(C56,Company_table[Company_Name],Company_table[Company_ID])</f>
        <v>C002</v>
      </c>
      <c r="E56" t="s">
        <v>37</v>
      </c>
      <c r="F56" t="str">
        <f>_xlfn.XLOOKUP(E56,Account_table[Account_Name],Account_table[Account_ID])</f>
        <v>A003</v>
      </c>
      <c r="G56" t="s">
        <v>57</v>
      </c>
      <c r="H56" t="str">
        <f>_xlfn.XLOOKUP(G56,Cust_Vend_table[Party_Name],Cust_Vend_table[Party_ID])</f>
        <v>P001</v>
      </c>
      <c r="I56" t="s">
        <v>87</v>
      </c>
      <c r="J56" t="str">
        <f>_xlfn.XLOOKUP(I56,Dept_table[Department_Name],Dept_table[Department_ID])</f>
        <v>D003</v>
      </c>
      <c r="K56" t="s">
        <v>104</v>
      </c>
      <c r="L56" t="str">
        <f>_xlfn.XLOOKUP(K56,Payment_table[Payment_Mode],Payment_table[Payment_Mode_ID])</f>
        <v>PM04</v>
      </c>
      <c r="M56" t="s">
        <v>278</v>
      </c>
      <c r="N56" t="s">
        <v>279</v>
      </c>
      <c r="O56" s="3">
        <v>5726</v>
      </c>
      <c r="P56" s="3">
        <v>1030.68</v>
      </c>
      <c r="Q56" s="3">
        <v>6756.68</v>
      </c>
      <c r="R56" t="s">
        <v>135</v>
      </c>
    </row>
    <row r="57" spans="1:18" x14ac:dyDescent="0.3">
      <c r="A57" t="s">
        <v>280</v>
      </c>
      <c r="B57" s="1">
        <v>45900</v>
      </c>
      <c r="C57" s="1" t="s">
        <v>19</v>
      </c>
      <c r="D57" t="str">
        <f>_xlfn.XLOOKUP(C57,Company_table[Company_Name],Company_table[Company_ID])</f>
        <v>C002</v>
      </c>
      <c r="E57" t="s">
        <v>40</v>
      </c>
      <c r="F57" t="str">
        <f>_xlfn.XLOOKUP(E57,Account_table[Account_Name],Account_table[Account_ID])</f>
        <v>A004</v>
      </c>
      <c r="G57" t="s">
        <v>74</v>
      </c>
      <c r="H57" t="str">
        <f>_xlfn.XLOOKUP(G57,Cust_Vend_table[Party_Name],Cust_Vend_table[Party_ID])</f>
        <v>P007</v>
      </c>
      <c r="I57" t="s">
        <v>93</v>
      </c>
      <c r="J57" t="str">
        <f>_xlfn.XLOOKUP(I57,Dept_table[Department_Name],Dept_table[Department_ID])</f>
        <v>D005</v>
      </c>
      <c r="K57" t="s">
        <v>104</v>
      </c>
      <c r="L57" t="str">
        <f>_xlfn.XLOOKUP(K57,Payment_table[Payment_Mode],Payment_table[Payment_Mode_ID])</f>
        <v>PM04</v>
      </c>
      <c r="M57" t="s">
        <v>281</v>
      </c>
      <c r="N57" t="s">
        <v>282</v>
      </c>
      <c r="O57" s="3">
        <v>17005</v>
      </c>
      <c r="P57" s="3">
        <v>3060.9</v>
      </c>
      <c r="Q57" s="3">
        <v>20065.900000000001</v>
      </c>
      <c r="R57" t="s">
        <v>116</v>
      </c>
    </row>
    <row r="58" spans="1:18" x14ac:dyDescent="0.3">
      <c r="A58" t="s">
        <v>283</v>
      </c>
      <c r="B58" s="1">
        <v>45940</v>
      </c>
      <c r="C58" s="1" t="s">
        <v>23</v>
      </c>
      <c r="D58" t="str">
        <f>_xlfn.XLOOKUP(C58,Company_table[Company_Name],Company_table[Company_ID])</f>
        <v>C003</v>
      </c>
      <c r="E58" t="s">
        <v>31</v>
      </c>
      <c r="F58" t="str">
        <f>_xlfn.XLOOKUP(E58,Account_table[Account_Name],Account_table[Account_ID])</f>
        <v>A001</v>
      </c>
      <c r="G58" t="s">
        <v>62</v>
      </c>
      <c r="H58" t="str">
        <f>_xlfn.XLOOKUP(G58,Cust_Vend_table[Party_Name],Cust_Vend_table[Party_ID])</f>
        <v>P003</v>
      </c>
      <c r="I58" t="s">
        <v>90</v>
      </c>
      <c r="J58" t="str">
        <f>_xlfn.XLOOKUP(I58,Dept_table[Department_Name],Dept_table[Department_ID])</f>
        <v>D004</v>
      </c>
      <c r="K58" t="s">
        <v>100</v>
      </c>
      <c r="L58" t="str">
        <f>_xlfn.XLOOKUP(K58,Payment_table[Payment_Mode],Payment_table[Payment_Mode_ID])</f>
        <v>PM02</v>
      </c>
      <c r="M58" t="s">
        <v>284</v>
      </c>
      <c r="N58" t="s">
        <v>285</v>
      </c>
      <c r="O58" s="3">
        <v>49853</v>
      </c>
      <c r="P58" s="3">
        <v>8973.5400000000009</v>
      </c>
      <c r="Q58" s="3">
        <v>58826.54</v>
      </c>
      <c r="R58" t="s">
        <v>135</v>
      </c>
    </row>
    <row r="59" spans="1:18" x14ac:dyDescent="0.3">
      <c r="A59" t="s">
        <v>286</v>
      </c>
      <c r="B59" s="1">
        <v>45963</v>
      </c>
      <c r="C59" s="1" t="s">
        <v>14</v>
      </c>
      <c r="D59" t="str">
        <f>_xlfn.XLOOKUP(C59,Company_table[Company_Name],Company_table[Company_ID])</f>
        <v>C001</v>
      </c>
      <c r="E59" t="s">
        <v>35</v>
      </c>
      <c r="F59" t="str">
        <f>_xlfn.XLOOKUP(E59,Account_table[Account_Name],Account_table[Account_ID])</f>
        <v>A002</v>
      </c>
      <c r="G59" t="s">
        <v>60</v>
      </c>
      <c r="H59" t="str">
        <f>_xlfn.XLOOKUP(G59,Cust_Vend_table[Party_Name],Cust_Vend_table[Party_ID])</f>
        <v>P002</v>
      </c>
      <c r="I59" t="s">
        <v>90</v>
      </c>
      <c r="J59" t="str">
        <f>_xlfn.XLOOKUP(I59,Dept_table[Department_Name],Dept_table[Department_ID])</f>
        <v>D004</v>
      </c>
      <c r="K59" t="s">
        <v>102</v>
      </c>
      <c r="L59" t="str">
        <f>_xlfn.XLOOKUP(K59,Payment_table[Payment_Mode],Payment_table[Payment_Mode_ID])</f>
        <v>PM03</v>
      </c>
      <c r="M59" t="s">
        <v>287</v>
      </c>
      <c r="N59" t="s">
        <v>288</v>
      </c>
      <c r="O59" s="3">
        <v>34235</v>
      </c>
      <c r="P59" s="3">
        <v>6162.3</v>
      </c>
      <c r="Q59" s="3">
        <v>40397.300000000003</v>
      </c>
      <c r="R59" t="s">
        <v>135</v>
      </c>
    </row>
    <row r="60" spans="1:18" x14ac:dyDescent="0.3">
      <c r="A60" t="s">
        <v>289</v>
      </c>
      <c r="B60" s="1">
        <v>46031</v>
      </c>
      <c r="C60" s="1" t="s">
        <v>19</v>
      </c>
      <c r="D60" t="str">
        <f>_xlfn.XLOOKUP(C60,Company_table[Company_Name],Company_table[Company_ID])</f>
        <v>C002</v>
      </c>
      <c r="E60" t="s">
        <v>44</v>
      </c>
      <c r="F60" t="str">
        <f>_xlfn.XLOOKUP(E60,Account_table[Account_Name],Account_table[Account_ID])</f>
        <v>A005</v>
      </c>
      <c r="G60" t="s">
        <v>76</v>
      </c>
      <c r="H60" t="str">
        <f>_xlfn.XLOOKUP(G60,Cust_Vend_table[Party_Name],Cust_Vend_table[Party_ID])</f>
        <v>P008</v>
      </c>
      <c r="I60" t="s">
        <v>90</v>
      </c>
      <c r="J60" t="str">
        <f>_xlfn.XLOOKUP(I60,Dept_table[Department_Name],Dept_table[Department_ID])</f>
        <v>D004</v>
      </c>
      <c r="K60" t="s">
        <v>104</v>
      </c>
      <c r="L60" t="str">
        <f>_xlfn.XLOOKUP(K60,Payment_table[Payment_Mode],Payment_table[Payment_Mode_ID])</f>
        <v>PM04</v>
      </c>
      <c r="M60" t="s">
        <v>290</v>
      </c>
      <c r="N60" t="s">
        <v>291</v>
      </c>
      <c r="O60" s="3">
        <v>24474</v>
      </c>
      <c r="P60" s="3">
        <v>4405.32</v>
      </c>
      <c r="Q60" s="3">
        <v>28879.32</v>
      </c>
      <c r="R60" t="s">
        <v>116</v>
      </c>
    </row>
    <row r="61" spans="1:18" x14ac:dyDescent="0.3">
      <c r="A61" t="s">
        <v>292</v>
      </c>
      <c r="B61" s="1">
        <v>45808</v>
      </c>
      <c r="C61" s="1" t="s">
        <v>23</v>
      </c>
      <c r="D61" t="str">
        <f>_xlfn.XLOOKUP(C61,Company_table[Company_Name],Company_table[Company_ID])</f>
        <v>C003</v>
      </c>
      <c r="E61" t="s">
        <v>31</v>
      </c>
      <c r="F61" t="str">
        <f>_xlfn.XLOOKUP(E61,Account_table[Account_Name],Account_table[Account_ID])</f>
        <v>A001</v>
      </c>
      <c r="G61" t="s">
        <v>60</v>
      </c>
      <c r="H61" t="str">
        <f>_xlfn.XLOOKUP(G61,Cust_Vend_table[Party_Name],Cust_Vend_table[Party_ID])</f>
        <v>P002</v>
      </c>
      <c r="I61" t="s">
        <v>93</v>
      </c>
      <c r="J61" t="str">
        <f>_xlfn.XLOOKUP(I61,Dept_table[Department_Name],Dept_table[Department_ID])</f>
        <v>D005</v>
      </c>
      <c r="K61" t="s">
        <v>102</v>
      </c>
      <c r="L61" t="str">
        <f>_xlfn.XLOOKUP(K61,Payment_table[Payment_Mode],Payment_table[Payment_Mode_ID])</f>
        <v>PM03</v>
      </c>
      <c r="M61" t="s">
        <v>293</v>
      </c>
      <c r="N61" t="s">
        <v>294</v>
      </c>
      <c r="O61" s="3">
        <v>42269</v>
      </c>
      <c r="P61" s="3">
        <v>7608.42</v>
      </c>
      <c r="Q61" s="3">
        <v>49877.42</v>
      </c>
      <c r="R61" t="s">
        <v>135</v>
      </c>
    </row>
    <row r="62" spans="1:18" x14ac:dyDescent="0.3">
      <c r="A62" t="s">
        <v>295</v>
      </c>
      <c r="B62" s="1">
        <v>45766</v>
      </c>
      <c r="C62" s="1" t="s">
        <v>14</v>
      </c>
      <c r="D62" t="str">
        <f>_xlfn.XLOOKUP(C62,Company_table[Company_Name],Company_table[Company_ID])</f>
        <v>C001</v>
      </c>
      <c r="E62" t="s">
        <v>31</v>
      </c>
      <c r="F62" t="str">
        <f>_xlfn.XLOOKUP(E62,Account_table[Account_Name],Account_table[Account_ID])</f>
        <v>A001</v>
      </c>
      <c r="G62" t="s">
        <v>60</v>
      </c>
      <c r="H62" t="str">
        <f>_xlfn.XLOOKUP(G62,Cust_Vend_table[Party_Name],Cust_Vend_table[Party_ID])</f>
        <v>P002</v>
      </c>
      <c r="I62" t="s">
        <v>87</v>
      </c>
      <c r="J62" t="str">
        <f>_xlfn.XLOOKUP(I62,Dept_table[Department_Name],Dept_table[Department_ID])</f>
        <v>D003</v>
      </c>
      <c r="K62" t="s">
        <v>102</v>
      </c>
      <c r="L62" t="str">
        <f>_xlfn.XLOOKUP(K62,Payment_table[Payment_Mode],Payment_table[Payment_Mode_ID])</f>
        <v>PM03</v>
      </c>
      <c r="M62" t="s">
        <v>296</v>
      </c>
      <c r="N62" t="s">
        <v>297</v>
      </c>
      <c r="O62" s="3">
        <v>31355</v>
      </c>
      <c r="P62" s="3">
        <v>5643.9</v>
      </c>
      <c r="Q62" s="3">
        <v>36998.9</v>
      </c>
      <c r="R62" t="s">
        <v>135</v>
      </c>
    </row>
    <row r="63" spans="1:18" x14ac:dyDescent="0.3">
      <c r="A63" t="s">
        <v>298</v>
      </c>
      <c r="B63" s="1">
        <v>45874</v>
      </c>
      <c r="C63" s="1" t="s">
        <v>19</v>
      </c>
      <c r="D63" t="str">
        <f>_xlfn.XLOOKUP(C63,Company_table[Company_Name],Company_table[Company_ID])</f>
        <v>C002</v>
      </c>
      <c r="E63" t="s">
        <v>37</v>
      </c>
      <c r="F63" t="str">
        <f>_xlfn.XLOOKUP(E63,Account_table[Account_Name],Account_table[Account_ID])</f>
        <v>A003</v>
      </c>
      <c r="G63" t="s">
        <v>60</v>
      </c>
      <c r="H63" t="str">
        <f>_xlfn.XLOOKUP(G63,Cust_Vend_table[Party_Name],Cust_Vend_table[Party_ID])</f>
        <v>P002</v>
      </c>
      <c r="I63" t="s">
        <v>93</v>
      </c>
      <c r="J63" t="str">
        <f>_xlfn.XLOOKUP(I63,Dept_table[Department_Name],Dept_table[Department_ID])</f>
        <v>D005</v>
      </c>
      <c r="K63" t="s">
        <v>102</v>
      </c>
      <c r="L63" t="str">
        <f>_xlfn.XLOOKUP(K63,Payment_table[Payment_Mode],Payment_table[Payment_Mode_ID])</f>
        <v>PM03</v>
      </c>
      <c r="M63" t="s">
        <v>299</v>
      </c>
      <c r="N63" t="s">
        <v>300</v>
      </c>
      <c r="O63" s="3">
        <v>13154</v>
      </c>
      <c r="P63" s="3">
        <v>2367.7199999999998</v>
      </c>
      <c r="Q63" s="3">
        <v>15521.72</v>
      </c>
      <c r="R63" t="s">
        <v>135</v>
      </c>
    </row>
    <row r="64" spans="1:18" x14ac:dyDescent="0.3">
      <c r="A64" t="s">
        <v>301</v>
      </c>
      <c r="B64" s="1">
        <v>45993</v>
      </c>
      <c r="C64" s="1" t="s">
        <v>14</v>
      </c>
      <c r="D64" t="str">
        <f>_xlfn.XLOOKUP(C64,Company_table[Company_Name],Company_table[Company_ID])</f>
        <v>C001</v>
      </c>
      <c r="E64" t="s">
        <v>35</v>
      </c>
      <c r="F64" t="str">
        <f>_xlfn.XLOOKUP(E64,Account_table[Account_Name],Account_table[Account_ID])</f>
        <v>A002</v>
      </c>
      <c r="G64" t="s">
        <v>60</v>
      </c>
      <c r="H64" t="str">
        <f>_xlfn.XLOOKUP(G64,Cust_Vend_table[Party_Name],Cust_Vend_table[Party_ID])</f>
        <v>P002</v>
      </c>
      <c r="I64" t="s">
        <v>84</v>
      </c>
      <c r="J64" t="str">
        <f>_xlfn.XLOOKUP(I64,Dept_table[Department_Name],Dept_table[Department_ID])</f>
        <v>D002</v>
      </c>
      <c r="K64" t="s">
        <v>100</v>
      </c>
      <c r="L64" t="str">
        <f>_xlfn.XLOOKUP(K64,Payment_table[Payment_Mode],Payment_table[Payment_Mode_ID])</f>
        <v>PM02</v>
      </c>
      <c r="M64" t="s">
        <v>302</v>
      </c>
      <c r="N64" t="s">
        <v>303</v>
      </c>
      <c r="O64" s="3">
        <v>48624</v>
      </c>
      <c r="P64" s="3">
        <v>8752.32</v>
      </c>
      <c r="Q64" s="3">
        <v>57376.32</v>
      </c>
      <c r="R64" t="s">
        <v>135</v>
      </c>
    </row>
    <row r="65" spans="1:18" x14ac:dyDescent="0.3">
      <c r="A65" t="s">
        <v>304</v>
      </c>
      <c r="B65" s="1">
        <v>45870</v>
      </c>
      <c r="C65" s="1" t="s">
        <v>23</v>
      </c>
      <c r="D65" t="str">
        <f>_xlfn.XLOOKUP(C65,Company_table[Company_Name],Company_table[Company_ID])</f>
        <v>C003</v>
      </c>
      <c r="E65" t="s">
        <v>47</v>
      </c>
      <c r="F65" t="str">
        <f>_xlfn.XLOOKUP(E65,Account_table[Account_Name],Account_table[Account_ID])</f>
        <v>A006</v>
      </c>
      <c r="G65" t="s">
        <v>69</v>
      </c>
      <c r="H65" t="str">
        <f>_xlfn.XLOOKUP(G65,Cust_Vend_table[Party_Name],Cust_Vend_table[Party_ID])</f>
        <v>P005</v>
      </c>
      <c r="I65" t="s">
        <v>81</v>
      </c>
      <c r="J65" t="str">
        <f>_xlfn.XLOOKUP(I65,Dept_table[Department_Name],Dept_table[Department_ID])</f>
        <v>D001</v>
      </c>
      <c r="K65" t="s">
        <v>100</v>
      </c>
      <c r="L65" t="str">
        <f>_xlfn.XLOOKUP(K65,Payment_table[Payment_Mode],Payment_table[Payment_Mode_ID])</f>
        <v>PM02</v>
      </c>
      <c r="M65" t="s">
        <v>305</v>
      </c>
      <c r="N65" t="s">
        <v>306</v>
      </c>
      <c r="O65" s="3">
        <v>26558</v>
      </c>
      <c r="P65" s="3">
        <v>4780.4399999999996</v>
      </c>
      <c r="Q65" s="3">
        <v>31338.44</v>
      </c>
      <c r="R65" t="s">
        <v>116</v>
      </c>
    </row>
    <row r="66" spans="1:18" x14ac:dyDescent="0.3">
      <c r="A66" t="s">
        <v>307</v>
      </c>
      <c r="B66" s="1">
        <v>45836</v>
      </c>
      <c r="C66" s="1" t="s">
        <v>19</v>
      </c>
      <c r="D66" t="str">
        <f>_xlfn.XLOOKUP(C66,Company_table[Company_Name],Company_table[Company_ID])</f>
        <v>C002</v>
      </c>
      <c r="E66" t="s">
        <v>40</v>
      </c>
      <c r="F66" t="str">
        <f>_xlfn.XLOOKUP(E66,Account_table[Account_Name],Account_table[Account_ID])</f>
        <v>A004</v>
      </c>
      <c r="G66" t="s">
        <v>72</v>
      </c>
      <c r="H66" t="str">
        <f>_xlfn.XLOOKUP(G66,Cust_Vend_table[Party_Name],Cust_Vend_table[Party_ID])</f>
        <v>P006</v>
      </c>
      <c r="I66" t="s">
        <v>84</v>
      </c>
      <c r="J66" t="str">
        <f>_xlfn.XLOOKUP(I66,Dept_table[Department_Name],Dept_table[Department_ID])</f>
        <v>D002</v>
      </c>
      <c r="K66" t="s">
        <v>100</v>
      </c>
      <c r="L66" t="str">
        <f>_xlfn.XLOOKUP(K66,Payment_table[Payment_Mode],Payment_table[Payment_Mode_ID])</f>
        <v>PM02</v>
      </c>
      <c r="M66" t="s">
        <v>308</v>
      </c>
      <c r="N66" t="s">
        <v>309</v>
      </c>
      <c r="O66" s="3">
        <v>41066</v>
      </c>
      <c r="P66" s="3">
        <v>7391.88</v>
      </c>
      <c r="Q66" s="3">
        <v>48457.88</v>
      </c>
      <c r="R66" t="s">
        <v>116</v>
      </c>
    </row>
    <row r="67" spans="1:18" x14ac:dyDescent="0.3">
      <c r="A67" t="s">
        <v>310</v>
      </c>
      <c r="B67" s="1">
        <v>45763</v>
      </c>
      <c r="C67" s="1" t="s">
        <v>23</v>
      </c>
      <c r="D67" t="str">
        <f>_xlfn.XLOOKUP(C67,Company_table[Company_Name],Company_table[Company_ID])</f>
        <v>C003</v>
      </c>
      <c r="E67" t="s">
        <v>37</v>
      </c>
      <c r="F67" t="str">
        <f>_xlfn.XLOOKUP(E67,Account_table[Account_Name],Account_table[Account_ID])</f>
        <v>A003</v>
      </c>
      <c r="G67" t="s">
        <v>62</v>
      </c>
      <c r="H67" t="str">
        <f>_xlfn.XLOOKUP(G67,Cust_Vend_table[Party_Name],Cust_Vend_table[Party_ID])</f>
        <v>P003</v>
      </c>
      <c r="I67" t="s">
        <v>93</v>
      </c>
      <c r="J67" t="str">
        <f>_xlfn.XLOOKUP(I67,Dept_table[Department_Name],Dept_table[Department_ID])</f>
        <v>D005</v>
      </c>
      <c r="K67" t="s">
        <v>102</v>
      </c>
      <c r="L67" t="str">
        <f>_xlfn.XLOOKUP(K67,Payment_table[Payment_Mode],Payment_table[Payment_Mode_ID])</f>
        <v>PM03</v>
      </c>
      <c r="M67" t="s">
        <v>311</v>
      </c>
      <c r="N67" t="s">
        <v>312</v>
      </c>
      <c r="O67" s="3">
        <v>36949</v>
      </c>
      <c r="P67" s="3">
        <v>6650.82</v>
      </c>
      <c r="Q67" s="3">
        <v>43599.82</v>
      </c>
      <c r="R67" t="s">
        <v>135</v>
      </c>
    </row>
    <row r="68" spans="1:18" x14ac:dyDescent="0.3">
      <c r="A68" t="s">
        <v>313</v>
      </c>
      <c r="B68" s="1">
        <v>45756</v>
      </c>
      <c r="C68" s="1" t="s">
        <v>23</v>
      </c>
      <c r="D68" t="str">
        <f>_xlfn.XLOOKUP(C68,Company_table[Company_Name],Company_table[Company_ID])</f>
        <v>C003</v>
      </c>
      <c r="E68" t="s">
        <v>40</v>
      </c>
      <c r="F68" t="str">
        <f>_xlfn.XLOOKUP(E68,Account_table[Account_Name],Account_table[Account_ID])</f>
        <v>A004</v>
      </c>
      <c r="G68" t="s">
        <v>72</v>
      </c>
      <c r="H68" t="str">
        <f>_xlfn.XLOOKUP(G68,Cust_Vend_table[Party_Name],Cust_Vend_table[Party_ID])</f>
        <v>P006</v>
      </c>
      <c r="I68" t="s">
        <v>93</v>
      </c>
      <c r="J68" t="str">
        <f>_xlfn.XLOOKUP(I68,Dept_table[Department_Name],Dept_table[Department_ID])</f>
        <v>D005</v>
      </c>
      <c r="K68" t="s">
        <v>100</v>
      </c>
      <c r="L68" t="str">
        <f>_xlfn.XLOOKUP(K68,Payment_table[Payment_Mode],Payment_table[Payment_Mode_ID])</f>
        <v>PM02</v>
      </c>
      <c r="M68" t="s">
        <v>314</v>
      </c>
      <c r="N68" t="s">
        <v>315</v>
      </c>
      <c r="O68" s="3">
        <v>43469</v>
      </c>
      <c r="P68" s="3">
        <v>7824.42</v>
      </c>
      <c r="Q68" s="3">
        <v>51293.42</v>
      </c>
      <c r="R68" t="s">
        <v>116</v>
      </c>
    </row>
    <row r="69" spans="1:18" x14ac:dyDescent="0.3">
      <c r="A69" t="s">
        <v>316</v>
      </c>
      <c r="B69" s="1">
        <v>46056</v>
      </c>
      <c r="C69" s="1" t="s">
        <v>19</v>
      </c>
      <c r="D69" t="str">
        <f>_xlfn.XLOOKUP(C69,Company_table[Company_Name],Company_table[Company_ID])</f>
        <v>C002</v>
      </c>
      <c r="E69" t="s">
        <v>40</v>
      </c>
      <c r="F69" t="str">
        <f>_xlfn.XLOOKUP(E69,Account_table[Account_Name],Account_table[Account_ID])</f>
        <v>A004</v>
      </c>
      <c r="G69" t="s">
        <v>76</v>
      </c>
      <c r="H69" t="str">
        <f>_xlfn.XLOOKUP(G69,Cust_Vend_table[Party_Name],Cust_Vend_table[Party_ID])</f>
        <v>P008</v>
      </c>
      <c r="I69" t="s">
        <v>93</v>
      </c>
      <c r="J69" t="str">
        <f>_xlfn.XLOOKUP(I69,Dept_table[Department_Name],Dept_table[Department_ID])</f>
        <v>D005</v>
      </c>
      <c r="K69" t="s">
        <v>100</v>
      </c>
      <c r="L69" t="str">
        <f>_xlfn.XLOOKUP(K69,Payment_table[Payment_Mode],Payment_table[Payment_Mode_ID])</f>
        <v>PM02</v>
      </c>
      <c r="M69" t="s">
        <v>317</v>
      </c>
      <c r="N69" t="s">
        <v>318</v>
      </c>
      <c r="O69" s="3">
        <v>40296</v>
      </c>
      <c r="P69" s="3">
        <v>7253.28</v>
      </c>
      <c r="Q69" s="3">
        <v>47549.279999999999</v>
      </c>
      <c r="R69" t="s">
        <v>116</v>
      </c>
    </row>
    <row r="70" spans="1:18" x14ac:dyDescent="0.3">
      <c r="A70" t="s">
        <v>319</v>
      </c>
      <c r="B70" s="1">
        <v>45700</v>
      </c>
      <c r="C70" s="1" t="s">
        <v>23</v>
      </c>
      <c r="D70" t="str">
        <f>_xlfn.XLOOKUP(C70,Company_table[Company_Name],Company_table[Company_ID])</f>
        <v>C003</v>
      </c>
      <c r="E70" t="s">
        <v>35</v>
      </c>
      <c r="F70" t="str">
        <f>_xlfn.XLOOKUP(E70,Account_table[Account_Name],Account_table[Account_ID])</f>
        <v>A002</v>
      </c>
      <c r="G70" t="s">
        <v>57</v>
      </c>
      <c r="H70" t="str">
        <f>_xlfn.XLOOKUP(G70,Cust_Vend_table[Party_Name],Cust_Vend_table[Party_ID])</f>
        <v>P001</v>
      </c>
      <c r="I70" t="s">
        <v>93</v>
      </c>
      <c r="J70" t="str">
        <f>_xlfn.XLOOKUP(I70,Dept_table[Department_Name],Dept_table[Department_ID])</f>
        <v>D005</v>
      </c>
      <c r="K70" t="s">
        <v>98</v>
      </c>
      <c r="L70" t="str">
        <f>_xlfn.XLOOKUP(K70,Payment_table[Payment_Mode],Payment_table[Payment_Mode_ID])</f>
        <v>PM01</v>
      </c>
      <c r="M70" t="s">
        <v>320</v>
      </c>
      <c r="N70" t="s">
        <v>321</v>
      </c>
      <c r="O70" s="3">
        <v>12678</v>
      </c>
      <c r="P70" s="3">
        <v>2282.04</v>
      </c>
      <c r="Q70" s="3">
        <v>14960.04</v>
      </c>
      <c r="R70" t="s">
        <v>135</v>
      </c>
    </row>
    <row r="71" spans="1:18" x14ac:dyDescent="0.3">
      <c r="A71" t="s">
        <v>322</v>
      </c>
      <c r="B71" s="1">
        <v>45699</v>
      </c>
      <c r="C71" s="1" t="s">
        <v>14</v>
      </c>
      <c r="D71" t="str">
        <f>_xlfn.XLOOKUP(C71,Company_table[Company_Name],Company_table[Company_ID])</f>
        <v>C001</v>
      </c>
      <c r="E71" t="s">
        <v>44</v>
      </c>
      <c r="F71" t="str">
        <f>_xlfn.XLOOKUP(E71,Account_table[Account_Name],Account_table[Account_ID])</f>
        <v>A005</v>
      </c>
      <c r="G71" t="s">
        <v>72</v>
      </c>
      <c r="H71" t="str">
        <f>_xlfn.XLOOKUP(G71,Cust_Vend_table[Party_Name],Cust_Vend_table[Party_ID])</f>
        <v>P006</v>
      </c>
      <c r="I71" t="s">
        <v>84</v>
      </c>
      <c r="J71" t="str">
        <f>_xlfn.XLOOKUP(I71,Dept_table[Department_Name],Dept_table[Department_ID])</f>
        <v>D002</v>
      </c>
      <c r="K71" t="s">
        <v>98</v>
      </c>
      <c r="L71" t="str">
        <f>_xlfn.XLOOKUP(K71,Payment_table[Payment_Mode],Payment_table[Payment_Mode_ID])</f>
        <v>PM01</v>
      </c>
      <c r="M71" t="s">
        <v>323</v>
      </c>
      <c r="N71" t="s">
        <v>324</v>
      </c>
      <c r="O71" s="3">
        <v>23014</v>
      </c>
      <c r="P71" s="3">
        <v>4142.5200000000004</v>
      </c>
      <c r="Q71" s="3">
        <v>27156.52</v>
      </c>
      <c r="R71" t="s">
        <v>116</v>
      </c>
    </row>
    <row r="72" spans="1:18" x14ac:dyDescent="0.3">
      <c r="A72" t="s">
        <v>325</v>
      </c>
      <c r="B72" s="1">
        <v>46010</v>
      </c>
      <c r="C72" s="1" t="s">
        <v>23</v>
      </c>
      <c r="D72" t="str">
        <f>_xlfn.XLOOKUP(C72,Company_table[Company_Name],Company_table[Company_ID])</f>
        <v>C003</v>
      </c>
      <c r="E72" t="s">
        <v>35</v>
      </c>
      <c r="F72" t="str">
        <f>_xlfn.XLOOKUP(E72,Account_table[Account_Name],Account_table[Account_ID])</f>
        <v>A002</v>
      </c>
      <c r="G72" t="s">
        <v>62</v>
      </c>
      <c r="H72" t="str">
        <f>_xlfn.XLOOKUP(G72,Cust_Vend_table[Party_Name],Cust_Vend_table[Party_ID])</f>
        <v>P003</v>
      </c>
      <c r="I72" t="s">
        <v>81</v>
      </c>
      <c r="J72" t="str">
        <f>_xlfn.XLOOKUP(I72,Dept_table[Department_Name],Dept_table[Department_ID])</f>
        <v>D001</v>
      </c>
      <c r="K72" t="s">
        <v>100</v>
      </c>
      <c r="L72" t="str">
        <f>_xlfn.XLOOKUP(K72,Payment_table[Payment_Mode],Payment_table[Payment_Mode_ID])</f>
        <v>PM02</v>
      </c>
      <c r="M72" t="s">
        <v>326</v>
      </c>
      <c r="N72" t="s">
        <v>327</v>
      </c>
      <c r="O72" s="3">
        <v>14571</v>
      </c>
      <c r="P72" s="3">
        <v>2622.78</v>
      </c>
      <c r="Q72" s="3">
        <v>17193.78</v>
      </c>
      <c r="R72" t="s">
        <v>135</v>
      </c>
    </row>
    <row r="73" spans="1:18" x14ac:dyDescent="0.3">
      <c r="A73" t="s">
        <v>328</v>
      </c>
      <c r="B73" s="1">
        <v>45829</v>
      </c>
      <c r="C73" s="1" t="s">
        <v>14</v>
      </c>
      <c r="D73" t="str">
        <f>_xlfn.XLOOKUP(C73,Company_table[Company_Name],Company_table[Company_ID])</f>
        <v>C001</v>
      </c>
      <c r="E73" t="s">
        <v>51</v>
      </c>
      <c r="F73" t="str">
        <f>_xlfn.XLOOKUP(E73,Account_table[Account_Name],Account_table[Account_ID])</f>
        <v>A008</v>
      </c>
      <c r="G73" t="s">
        <v>74</v>
      </c>
      <c r="H73" t="str">
        <f>_xlfn.XLOOKUP(G73,Cust_Vend_table[Party_Name],Cust_Vend_table[Party_ID])</f>
        <v>P007</v>
      </c>
      <c r="I73" t="s">
        <v>87</v>
      </c>
      <c r="J73" t="str">
        <f>_xlfn.XLOOKUP(I73,Dept_table[Department_Name],Dept_table[Department_ID])</f>
        <v>D003</v>
      </c>
      <c r="K73" t="s">
        <v>102</v>
      </c>
      <c r="L73" t="str">
        <f>_xlfn.XLOOKUP(K73,Payment_table[Payment_Mode],Payment_table[Payment_Mode_ID])</f>
        <v>PM03</v>
      </c>
      <c r="M73" t="s">
        <v>329</v>
      </c>
      <c r="N73" t="s">
        <v>330</v>
      </c>
      <c r="O73" s="3">
        <v>42269</v>
      </c>
      <c r="P73" s="3">
        <v>7608.42</v>
      </c>
      <c r="Q73" s="3">
        <v>49877.42</v>
      </c>
      <c r="R73" t="s">
        <v>116</v>
      </c>
    </row>
    <row r="74" spans="1:18" x14ac:dyDescent="0.3">
      <c r="A74" t="s">
        <v>331</v>
      </c>
      <c r="B74" s="1">
        <v>45878</v>
      </c>
      <c r="C74" s="1" t="s">
        <v>14</v>
      </c>
      <c r="D74" t="str">
        <f>_xlfn.XLOOKUP(C74,Company_table[Company_Name],Company_table[Company_ID])</f>
        <v>C001</v>
      </c>
      <c r="E74" t="s">
        <v>44</v>
      </c>
      <c r="F74" t="str">
        <f>_xlfn.XLOOKUP(E74,Account_table[Account_Name],Account_table[Account_ID])</f>
        <v>A005</v>
      </c>
      <c r="G74" t="s">
        <v>69</v>
      </c>
      <c r="H74" t="str">
        <f>_xlfn.XLOOKUP(G74,Cust_Vend_table[Party_Name],Cust_Vend_table[Party_ID])</f>
        <v>P005</v>
      </c>
      <c r="I74" t="s">
        <v>81</v>
      </c>
      <c r="J74" t="str">
        <f>_xlfn.XLOOKUP(I74,Dept_table[Department_Name],Dept_table[Department_ID])</f>
        <v>D001</v>
      </c>
      <c r="K74" t="s">
        <v>104</v>
      </c>
      <c r="L74" t="str">
        <f>_xlfn.XLOOKUP(K74,Payment_table[Payment_Mode],Payment_table[Payment_Mode_ID])</f>
        <v>PM04</v>
      </c>
      <c r="M74" t="s">
        <v>332</v>
      </c>
      <c r="N74" t="s">
        <v>333</v>
      </c>
      <c r="O74" s="3">
        <v>25198</v>
      </c>
      <c r="P74" s="3">
        <v>4535.6400000000003</v>
      </c>
      <c r="Q74" s="3">
        <v>29733.64</v>
      </c>
      <c r="R74" t="s">
        <v>116</v>
      </c>
    </row>
    <row r="75" spans="1:18" x14ac:dyDescent="0.3">
      <c r="A75" t="s">
        <v>334</v>
      </c>
      <c r="B75" s="1">
        <v>45829</v>
      </c>
      <c r="C75" s="1" t="s">
        <v>14</v>
      </c>
      <c r="D75" t="str">
        <f>_xlfn.XLOOKUP(C75,Company_table[Company_Name],Company_table[Company_ID])</f>
        <v>C001</v>
      </c>
      <c r="E75" t="s">
        <v>35</v>
      </c>
      <c r="F75" t="str">
        <f>_xlfn.XLOOKUP(E75,Account_table[Account_Name],Account_table[Account_ID])</f>
        <v>A002</v>
      </c>
      <c r="G75" t="s">
        <v>60</v>
      </c>
      <c r="H75" t="str">
        <f>_xlfn.XLOOKUP(G75,Cust_Vend_table[Party_Name],Cust_Vend_table[Party_ID])</f>
        <v>P002</v>
      </c>
      <c r="I75" t="s">
        <v>90</v>
      </c>
      <c r="J75" t="str">
        <f>_xlfn.XLOOKUP(I75,Dept_table[Department_Name],Dept_table[Department_ID])</f>
        <v>D004</v>
      </c>
      <c r="K75" t="s">
        <v>100</v>
      </c>
      <c r="L75" t="str">
        <f>_xlfn.XLOOKUP(K75,Payment_table[Payment_Mode],Payment_table[Payment_Mode_ID])</f>
        <v>PM02</v>
      </c>
      <c r="M75" t="s">
        <v>335</v>
      </c>
      <c r="N75" t="s">
        <v>336</v>
      </c>
      <c r="O75" s="3">
        <v>47551</v>
      </c>
      <c r="P75" s="3">
        <v>8559.18</v>
      </c>
      <c r="Q75" s="3">
        <v>56110.18</v>
      </c>
      <c r="R75" t="s">
        <v>135</v>
      </c>
    </row>
    <row r="76" spans="1:18" x14ac:dyDescent="0.3">
      <c r="A76" t="s">
        <v>337</v>
      </c>
      <c r="B76" s="1">
        <v>45730</v>
      </c>
      <c r="C76" s="1" t="s">
        <v>14</v>
      </c>
      <c r="D76" t="str">
        <f>_xlfn.XLOOKUP(C76,Company_table[Company_Name],Company_table[Company_ID])</f>
        <v>C001</v>
      </c>
      <c r="E76" t="s">
        <v>51</v>
      </c>
      <c r="F76" t="str">
        <f>_xlfn.XLOOKUP(E76,Account_table[Account_Name],Account_table[Account_ID])</f>
        <v>A008</v>
      </c>
      <c r="G76" t="s">
        <v>69</v>
      </c>
      <c r="H76" t="str">
        <f>_xlfn.XLOOKUP(G76,Cust_Vend_table[Party_Name],Cust_Vend_table[Party_ID])</f>
        <v>P005</v>
      </c>
      <c r="I76" t="s">
        <v>87</v>
      </c>
      <c r="J76" t="str">
        <f>_xlfn.XLOOKUP(I76,Dept_table[Department_Name],Dept_table[Department_ID])</f>
        <v>D003</v>
      </c>
      <c r="K76" t="s">
        <v>100</v>
      </c>
      <c r="L76" t="str">
        <f>_xlfn.XLOOKUP(K76,Payment_table[Payment_Mode],Payment_table[Payment_Mode_ID])</f>
        <v>PM02</v>
      </c>
      <c r="M76" t="s">
        <v>338</v>
      </c>
      <c r="N76" t="s">
        <v>339</v>
      </c>
      <c r="O76" s="3">
        <v>49518</v>
      </c>
      <c r="P76" s="3">
        <v>8913.24</v>
      </c>
      <c r="Q76" s="3">
        <v>58431.24</v>
      </c>
      <c r="R76" t="s">
        <v>116</v>
      </c>
    </row>
    <row r="77" spans="1:18" x14ac:dyDescent="0.3">
      <c r="A77" t="s">
        <v>340</v>
      </c>
      <c r="B77" s="1">
        <v>45754</v>
      </c>
      <c r="C77" s="1" t="s">
        <v>19</v>
      </c>
      <c r="D77" t="str">
        <f>_xlfn.XLOOKUP(C77,Company_table[Company_Name],Company_table[Company_ID])</f>
        <v>C002</v>
      </c>
      <c r="E77" t="s">
        <v>40</v>
      </c>
      <c r="F77" t="str">
        <f>_xlfn.XLOOKUP(E77,Account_table[Account_Name],Account_table[Account_ID])</f>
        <v>A004</v>
      </c>
      <c r="G77" t="s">
        <v>74</v>
      </c>
      <c r="H77" t="str">
        <f>_xlfn.XLOOKUP(G77,Cust_Vend_table[Party_Name],Cust_Vend_table[Party_ID])</f>
        <v>P007</v>
      </c>
      <c r="I77" t="s">
        <v>87</v>
      </c>
      <c r="J77" t="str">
        <f>_xlfn.XLOOKUP(I77,Dept_table[Department_Name],Dept_table[Department_ID])</f>
        <v>D003</v>
      </c>
      <c r="K77" t="s">
        <v>102</v>
      </c>
      <c r="L77" t="str">
        <f>_xlfn.XLOOKUP(K77,Payment_table[Payment_Mode],Payment_table[Payment_Mode_ID])</f>
        <v>PM03</v>
      </c>
      <c r="M77" t="s">
        <v>341</v>
      </c>
      <c r="N77" t="s">
        <v>342</v>
      </c>
      <c r="O77" s="3">
        <v>9143</v>
      </c>
      <c r="P77" s="3">
        <v>1645.74</v>
      </c>
      <c r="Q77" s="3">
        <v>10788.74</v>
      </c>
      <c r="R77" t="s">
        <v>116</v>
      </c>
    </row>
    <row r="78" spans="1:18" x14ac:dyDescent="0.3">
      <c r="A78" t="s">
        <v>343</v>
      </c>
      <c r="B78" s="1">
        <v>45853</v>
      </c>
      <c r="C78" s="1" t="s">
        <v>14</v>
      </c>
      <c r="D78" t="str">
        <f>_xlfn.XLOOKUP(C78,Company_table[Company_Name],Company_table[Company_ID])</f>
        <v>C001</v>
      </c>
      <c r="E78" t="s">
        <v>31</v>
      </c>
      <c r="F78" t="str">
        <f>_xlfn.XLOOKUP(E78,Account_table[Account_Name],Account_table[Account_ID])</f>
        <v>A001</v>
      </c>
      <c r="G78" t="s">
        <v>62</v>
      </c>
      <c r="H78" t="str">
        <f>_xlfn.XLOOKUP(G78,Cust_Vend_table[Party_Name],Cust_Vend_table[Party_ID])</f>
        <v>P003</v>
      </c>
      <c r="I78" t="s">
        <v>81</v>
      </c>
      <c r="J78" t="str">
        <f>_xlfn.XLOOKUP(I78,Dept_table[Department_Name],Dept_table[Department_ID])</f>
        <v>D001</v>
      </c>
      <c r="K78" t="s">
        <v>98</v>
      </c>
      <c r="L78" t="str">
        <f>_xlfn.XLOOKUP(K78,Payment_table[Payment_Mode],Payment_table[Payment_Mode_ID])</f>
        <v>PM01</v>
      </c>
      <c r="M78" t="s">
        <v>344</v>
      </c>
      <c r="N78" t="s">
        <v>345</v>
      </c>
      <c r="O78" s="3">
        <v>17140</v>
      </c>
      <c r="P78" s="3">
        <v>3085.2</v>
      </c>
      <c r="Q78" s="3">
        <v>20225.2</v>
      </c>
      <c r="R78" t="s">
        <v>135</v>
      </c>
    </row>
    <row r="79" spans="1:18" x14ac:dyDescent="0.3">
      <c r="A79" t="s">
        <v>346</v>
      </c>
      <c r="B79" s="1">
        <v>45904</v>
      </c>
      <c r="C79" s="1" t="s">
        <v>14</v>
      </c>
      <c r="D79" t="str">
        <f>_xlfn.XLOOKUP(C79,Company_table[Company_Name],Company_table[Company_ID])</f>
        <v>C001</v>
      </c>
      <c r="E79" t="s">
        <v>31</v>
      </c>
      <c r="F79" t="str">
        <f>_xlfn.XLOOKUP(E79,Account_table[Account_Name],Account_table[Account_ID])</f>
        <v>A001</v>
      </c>
      <c r="G79" t="s">
        <v>65</v>
      </c>
      <c r="H79" t="str">
        <f>_xlfn.XLOOKUP(G79,Cust_Vend_table[Party_Name],Cust_Vend_table[Party_ID])</f>
        <v>P004</v>
      </c>
      <c r="I79" t="s">
        <v>90</v>
      </c>
      <c r="J79" t="str">
        <f>_xlfn.XLOOKUP(I79,Dept_table[Department_Name],Dept_table[Department_ID])</f>
        <v>D004</v>
      </c>
      <c r="K79" t="s">
        <v>98</v>
      </c>
      <c r="L79" t="str">
        <f>_xlfn.XLOOKUP(K79,Payment_table[Payment_Mode],Payment_table[Payment_Mode_ID])</f>
        <v>PM01</v>
      </c>
      <c r="M79" t="s">
        <v>347</v>
      </c>
      <c r="N79" t="s">
        <v>348</v>
      </c>
      <c r="O79" s="3">
        <v>32172</v>
      </c>
      <c r="P79" s="3">
        <v>5790.96</v>
      </c>
      <c r="Q79" s="3">
        <v>37962.959999999999</v>
      </c>
      <c r="R79" t="s">
        <v>135</v>
      </c>
    </row>
    <row r="80" spans="1:18" x14ac:dyDescent="0.3">
      <c r="A80" t="s">
        <v>349</v>
      </c>
      <c r="B80" s="1">
        <v>46018</v>
      </c>
      <c r="C80" s="1" t="s">
        <v>23</v>
      </c>
      <c r="D80" t="str">
        <f>_xlfn.XLOOKUP(C80,Company_table[Company_Name],Company_table[Company_ID])</f>
        <v>C003</v>
      </c>
      <c r="E80" t="s">
        <v>37</v>
      </c>
      <c r="F80" t="str">
        <f>_xlfn.XLOOKUP(E80,Account_table[Account_Name],Account_table[Account_ID])</f>
        <v>A003</v>
      </c>
      <c r="G80" t="s">
        <v>57</v>
      </c>
      <c r="H80" t="str">
        <f>_xlfn.XLOOKUP(G80,Cust_Vend_table[Party_Name],Cust_Vend_table[Party_ID])</f>
        <v>P001</v>
      </c>
      <c r="I80" t="s">
        <v>90</v>
      </c>
      <c r="J80" t="str">
        <f>_xlfn.XLOOKUP(I80,Dept_table[Department_Name],Dept_table[Department_ID])</f>
        <v>D004</v>
      </c>
      <c r="K80" t="s">
        <v>98</v>
      </c>
      <c r="L80" t="str">
        <f>_xlfn.XLOOKUP(K80,Payment_table[Payment_Mode],Payment_table[Payment_Mode_ID])</f>
        <v>PM01</v>
      </c>
      <c r="M80" t="s">
        <v>350</v>
      </c>
      <c r="N80" t="s">
        <v>351</v>
      </c>
      <c r="O80" s="3">
        <v>11207</v>
      </c>
      <c r="P80" s="3">
        <v>2017.26</v>
      </c>
      <c r="Q80" s="3">
        <v>13224.26</v>
      </c>
      <c r="R80" t="s">
        <v>135</v>
      </c>
    </row>
    <row r="81" spans="1:18" x14ac:dyDescent="0.3">
      <c r="A81" t="s">
        <v>352</v>
      </c>
      <c r="B81" s="1">
        <v>45664</v>
      </c>
      <c r="C81" s="1" t="s">
        <v>23</v>
      </c>
      <c r="D81" t="str">
        <f>_xlfn.XLOOKUP(C81,Company_table[Company_Name],Company_table[Company_ID])</f>
        <v>C003</v>
      </c>
      <c r="E81" t="s">
        <v>40</v>
      </c>
      <c r="F81" t="str">
        <f>_xlfn.XLOOKUP(E81,Account_table[Account_Name],Account_table[Account_ID])</f>
        <v>A004</v>
      </c>
      <c r="G81" t="s">
        <v>76</v>
      </c>
      <c r="H81" t="str">
        <f>_xlfn.XLOOKUP(G81,Cust_Vend_table[Party_Name],Cust_Vend_table[Party_ID])</f>
        <v>P008</v>
      </c>
      <c r="I81" t="s">
        <v>81</v>
      </c>
      <c r="J81" t="str">
        <f>_xlfn.XLOOKUP(I81,Dept_table[Department_Name],Dept_table[Department_ID])</f>
        <v>D001</v>
      </c>
      <c r="K81" t="s">
        <v>98</v>
      </c>
      <c r="L81" t="str">
        <f>_xlfn.XLOOKUP(K81,Payment_table[Payment_Mode],Payment_table[Payment_Mode_ID])</f>
        <v>PM01</v>
      </c>
      <c r="M81" t="s">
        <v>353</v>
      </c>
      <c r="N81" t="s">
        <v>354</v>
      </c>
      <c r="O81" s="3">
        <v>15471</v>
      </c>
      <c r="P81" s="3">
        <v>2784.78</v>
      </c>
      <c r="Q81" s="3">
        <v>18255.78</v>
      </c>
      <c r="R81" t="s">
        <v>116</v>
      </c>
    </row>
    <row r="82" spans="1:18" x14ac:dyDescent="0.3">
      <c r="A82" t="s">
        <v>355</v>
      </c>
      <c r="B82" s="1">
        <v>45955</v>
      </c>
      <c r="C82" s="1" t="s">
        <v>14</v>
      </c>
      <c r="D82" t="str">
        <f>_xlfn.XLOOKUP(C82,Company_table[Company_Name],Company_table[Company_ID])</f>
        <v>C001</v>
      </c>
      <c r="E82" t="s">
        <v>51</v>
      </c>
      <c r="F82" t="str">
        <f>_xlfn.XLOOKUP(E82,Account_table[Account_Name],Account_table[Account_ID])</f>
        <v>A008</v>
      </c>
      <c r="G82" t="s">
        <v>76</v>
      </c>
      <c r="H82" t="str">
        <f>_xlfn.XLOOKUP(G82,Cust_Vend_table[Party_Name],Cust_Vend_table[Party_ID])</f>
        <v>P008</v>
      </c>
      <c r="I82" t="s">
        <v>81</v>
      </c>
      <c r="J82" t="str">
        <f>_xlfn.XLOOKUP(I82,Dept_table[Department_Name],Dept_table[Department_ID])</f>
        <v>D001</v>
      </c>
      <c r="K82" t="s">
        <v>102</v>
      </c>
      <c r="L82" t="str">
        <f>_xlfn.XLOOKUP(K82,Payment_table[Payment_Mode],Payment_table[Payment_Mode_ID])</f>
        <v>PM03</v>
      </c>
      <c r="M82" t="s">
        <v>356</v>
      </c>
      <c r="N82" t="s">
        <v>357</v>
      </c>
      <c r="O82" s="3">
        <v>35130</v>
      </c>
      <c r="P82" s="3">
        <v>6323.4</v>
      </c>
      <c r="Q82" s="3">
        <v>41453.4</v>
      </c>
      <c r="R82" t="s">
        <v>116</v>
      </c>
    </row>
    <row r="83" spans="1:18" x14ac:dyDescent="0.3">
      <c r="A83" t="s">
        <v>358</v>
      </c>
      <c r="B83" s="1">
        <v>45744</v>
      </c>
      <c r="C83" s="1" t="s">
        <v>23</v>
      </c>
      <c r="D83" t="str">
        <f>_xlfn.XLOOKUP(C83,Company_table[Company_Name],Company_table[Company_ID])</f>
        <v>C003</v>
      </c>
      <c r="E83" t="s">
        <v>40</v>
      </c>
      <c r="F83" t="str">
        <f>_xlfn.XLOOKUP(E83,Account_table[Account_Name],Account_table[Account_ID])</f>
        <v>A004</v>
      </c>
      <c r="G83" t="s">
        <v>72</v>
      </c>
      <c r="H83" t="str">
        <f>_xlfn.XLOOKUP(G83,Cust_Vend_table[Party_Name],Cust_Vend_table[Party_ID])</f>
        <v>P006</v>
      </c>
      <c r="I83" t="s">
        <v>87</v>
      </c>
      <c r="J83" t="str">
        <f>_xlfn.XLOOKUP(I83,Dept_table[Department_Name],Dept_table[Department_ID])</f>
        <v>D003</v>
      </c>
      <c r="K83" t="s">
        <v>98</v>
      </c>
      <c r="L83" t="str">
        <f>_xlfn.XLOOKUP(K83,Payment_table[Payment_Mode],Payment_table[Payment_Mode_ID])</f>
        <v>PM01</v>
      </c>
      <c r="M83" t="s">
        <v>359</v>
      </c>
      <c r="N83" t="s">
        <v>360</v>
      </c>
      <c r="O83" s="3">
        <v>9521</v>
      </c>
      <c r="P83" s="3">
        <v>1713.78</v>
      </c>
      <c r="Q83" s="3">
        <v>11234.78</v>
      </c>
      <c r="R83" t="s">
        <v>116</v>
      </c>
    </row>
    <row r="84" spans="1:18" x14ac:dyDescent="0.3">
      <c r="A84" t="s">
        <v>361</v>
      </c>
      <c r="B84" s="1">
        <v>45942</v>
      </c>
      <c r="C84" s="1" t="s">
        <v>14</v>
      </c>
      <c r="D84" t="str">
        <f>_xlfn.XLOOKUP(C84,Company_table[Company_Name],Company_table[Company_ID])</f>
        <v>C001</v>
      </c>
      <c r="E84" t="s">
        <v>47</v>
      </c>
      <c r="F84" t="str">
        <f>_xlfn.XLOOKUP(E84,Account_table[Account_Name],Account_table[Account_ID])</f>
        <v>A006</v>
      </c>
      <c r="G84" t="s">
        <v>69</v>
      </c>
      <c r="H84" t="str">
        <f>_xlfn.XLOOKUP(G84,Cust_Vend_table[Party_Name],Cust_Vend_table[Party_ID])</f>
        <v>P005</v>
      </c>
      <c r="I84" t="s">
        <v>81</v>
      </c>
      <c r="J84" t="str">
        <f>_xlfn.XLOOKUP(I84,Dept_table[Department_Name],Dept_table[Department_ID])</f>
        <v>D001</v>
      </c>
      <c r="K84" t="s">
        <v>102</v>
      </c>
      <c r="L84" t="str">
        <f>_xlfn.XLOOKUP(K84,Payment_table[Payment_Mode],Payment_table[Payment_Mode_ID])</f>
        <v>PM03</v>
      </c>
      <c r="M84" t="s">
        <v>362</v>
      </c>
      <c r="N84" t="s">
        <v>363</v>
      </c>
      <c r="O84" s="3">
        <v>28268</v>
      </c>
      <c r="P84" s="3">
        <v>5088.24</v>
      </c>
      <c r="Q84" s="3">
        <v>33356.239999999998</v>
      </c>
      <c r="R84" t="s">
        <v>116</v>
      </c>
    </row>
    <row r="85" spans="1:18" x14ac:dyDescent="0.3">
      <c r="A85" t="s">
        <v>364</v>
      </c>
      <c r="B85" s="1">
        <v>45873</v>
      </c>
      <c r="C85" s="1" t="s">
        <v>23</v>
      </c>
      <c r="D85" t="str">
        <f>_xlfn.XLOOKUP(C85,Company_table[Company_Name],Company_table[Company_ID])</f>
        <v>C003</v>
      </c>
      <c r="E85" t="s">
        <v>49</v>
      </c>
      <c r="F85" t="str">
        <f>_xlfn.XLOOKUP(E85,Account_table[Account_Name],Account_table[Account_ID])</f>
        <v>A007</v>
      </c>
      <c r="G85" t="s">
        <v>76</v>
      </c>
      <c r="H85" t="str">
        <f>_xlfn.XLOOKUP(G85,Cust_Vend_table[Party_Name],Cust_Vend_table[Party_ID])</f>
        <v>P008</v>
      </c>
      <c r="I85" t="s">
        <v>81</v>
      </c>
      <c r="J85" t="str">
        <f>_xlfn.XLOOKUP(I85,Dept_table[Department_Name],Dept_table[Department_ID])</f>
        <v>D001</v>
      </c>
      <c r="K85" t="s">
        <v>98</v>
      </c>
      <c r="L85" t="str">
        <f>_xlfn.XLOOKUP(K85,Payment_table[Payment_Mode],Payment_table[Payment_Mode_ID])</f>
        <v>PM01</v>
      </c>
      <c r="M85" t="s">
        <v>365</v>
      </c>
      <c r="N85" t="s">
        <v>366</v>
      </c>
      <c r="O85" s="3">
        <v>19784</v>
      </c>
      <c r="P85" s="3">
        <v>3561.12</v>
      </c>
      <c r="Q85" s="3">
        <v>23345.119999999999</v>
      </c>
      <c r="R85" t="s">
        <v>116</v>
      </c>
    </row>
    <row r="86" spans="1:18" x14ac:dyDescent="0.3">
      <c r="A86" t="s">
        <v>367</v>
      </c>
      <c r="B86" s="1">
        <v>45803</v>
      </c>
      <c r="C86" s="1" t="s">
        <v>23</v>
      </c>
      <c r="D86" t="str">
        <f>_xlfn.XLOOKUP(C86,Company_table[Company_Name],Company_table[Company_ID])</f>
        <v>C003</v>
      </c>
      <c r="E86" t="s">
        <v>37</v>
      </c>
      <c r="F86" t="str">
        <f>_xlfn.XLOOKUP(E86,Account_table[Account_Name],Account_table[Account_ID])</f>
        <v>A003</v>
      </c>
      <c r="G86" t="s">
        <v>60</v>
      </c>
      <c r="H86" t="str">
        <f>_xlfn.XLOOKUP(G86,Cust_Vend_table[Party_Name],Cust_Vend_table[Party_ID])</f>
        <v>P002</v>
      </c>
      <c r="I86" t="s">
        <v>93</v>
      </c>
      <c r="J86" t="str">
        <f>_xlfn.XLOOKUP(I86,Dept_table[Department_Name],Dept_table[Department_ID])</f>
        <v>D005</v>
      </c>
      <c r="K86" t="s">
        <v>98</v>
      </c>
      <c r="L86" t="str">
        <f>_xlfn.XLOOKUP(K86,Payment_table[Payment_Mode],Payment_table[Payment_Mode_ID])</f>
        <v>PM01</v>
      </c>
      <c r="M86" t="s">
        <v>368</v>
      </c>
      <c r="N86" t="s">
        <v>369</v>
      </c>
      <c r="O86" s="3">
        <v>35363</v>
      </c>
      <c r="P86" s="3">
        <v>6365.34</v>
      </c>
      <c r="Q86" s="3">
        <v>41728.339999999997</v>
      </c>
      <c r="R86" t="s">
        <v>135</v>
      </c>
    </row>
    <row r="87" spans="1:18" x14ac:dyDescent="0.3">
      <c r="A87" t="s">
        <v>370</v>
      </c>
      <c r="B87" s="1">
        <v>45757</v>
      </c>
      <c r="C87" s="1" t="s">
        <v>19</v>
      </c>
      <c r="D87" t="str">
        <f>_xlfn.XLOOKUP(C87,Company_table[Company_Name],Company_table[Company_ID])</f>
        <v>C002</v>
      </c>
      <c r="E87" t="s">
        <v>31</v>
      </c>
      <c r="F87" t="str">
        <f>_xlfn.XLOOKUP(E87,Account_table[Account_Name],Account_table[Account_ID])</f>
        <v>A001</v>
      </c>
      <c r="G87" t="s">
        <v>65</v>
      </c>
      <c r="H87" t="str">
        <f>_xlfn.XLOOKUP(G87,Cust_Vend_table[Party_Name],Cust_Vend_table[Party_ID])</f>
        <v>P004</v>
      </c>
      <c r="I87" t="s">
        <v>90</v>
      </c>
      <c r="J87" t="str">
        <f>_xlfn.XLOOKUP(I87,Dept_table[Department_Name],Dept_table[Department_ID])</f>
        <v>D004</v>
      </c>
      <c r="K87" t="s">
        <v>98</v>
      </c>
      <c r="L87" t="str">
        <f>_xlfn.XLOOKUP(K87,Payment_table[Payment_Mode],Payment_table[Payment_Mode_ID])</f>
        <v>PM01</v>
      </c>
      <c r="M87" t="s">
        <v>371</v>
      </c>
      <c r="N87" t="s">
        <v>372</v>
      </c>
      <c r="O87" s="3">
        <v>40767</v>
      </c>
      <c r="P87" s="3">
        <v>7338.06</v>
      </c>
      <c r="Q87" s="3">
        <v>48105.06</v>
      </c>
      <c r="R87" t="s">
        <v>135</v>
      </c>
    </row>
    <row r="88" spans="1:18" x14ac:dyDescent="0.3">
      <c r="A88" t="s">
        <v>373</v>
      </c>
      <c r="B88" s="1">
        <v>46056</v>
      </c>
      <c r="C88" s="1" t="s">
        <v>23</v>
      </c>
      <c r="D88" t="str">
        <f>_xlfn.XLOOKUP(C88,Company_table[Company_Name],Company_table[Company_ID])</f>
        <v>C003</v>
      </c>
      <c r="E88" t="s">
        <v>31</v>
      </c>
      <c r="F88" t="str">
        <f>_xlfn.XLOOKUP(E88,Account_table[Account_Name],Account_table[Account_ID])</f>
        <v>A001</v>
      </c>
      <c r="G88" t="s">
        <v>62</v>
      </c>
      <c r="H88" t="str">
        <f>_xlfn.XLOOKUP(G88,Cust_Vend_table[Party_Name],Cust_Vend_table[Party_ID])</f>
        <v>P003</v>
      </c>
      <c r="I88" t="s">
        <v>93</v>
      </c>
      <c r="J88" t="str">
        <f>_xlfn.XLOOKUP(I88,Dept_table[Department_Name],Dept_table[Department_ID])</f>
        <v>D005</v>
      </c>
      <c r="K88" t="s">
        <v>98</v>
      </c>
      <c r="L88" t="str">
        <f>_xlfn.XLOOKUP(K88,Payment_table[Payment_Mode],Payment_table[Payment_Mode_ID])</f>
        <v>PM01</v>
      </c>
      <c r="M88" t="s">
        <v>374</v>
      </c>
      <c r="N88" t="s">
        <v>375</v>
      </c>
      <c r="O88" s="3">
        <v>36131</v>
      </c>
      <c r="P88" s="3">
        <v>6503.58</v>
      </c>
      <c r="Q88" s="3">
        <v>42634.58</v>
      </c>
      <c r="R88" t="s">
        <v>135</v>
      </c>
    </row>
    <row r="89" spans="1:18" x14ac:dyDescent="0.3">
      <c r="A89" t="s">
        <v>376</v>
      </c>
      <c r="B89" s="1">
        <v>45969</v>
      </c>
      <c r="C89" s="1" t="s">
        <v>23</v>
      </c>
      <c r="D89" t="str">
        <f>_xlfn.XLOOKUP(C89,Company_table[Company_Name],Company_table[Company_ID])</f>
        <v>C003</v>
      </c>
      <c r="E89" t="s">
        <v>35</v>
      </c>
      <c r="F89" t="str">
        <f>_xlfn.XLOOKUP(E89,Account_table[Account_Name],Account_table[Account_ID])</f>
        <v>A002</v>
      </c>
      <c r="G89" t="s">
        <v>65</v>
      </c>
      <c r="H89" t="str">
        <f>_xlfn.XLOOKUP(G89,Cust_Vend_table[Party_Name],Cust_Vend_table[Party_ID])</f>
        <v>P004</v>
      </c>
      <c r="I89" t="s">
        <v>81</v>
      </c>
      <c r="J89" t="str">
        <f>_xlfn.XLOOKUP(I89,Dept_table[Department_Name],Dept_table[Department_ID])</f>
        <v>D001</v>
      </c>
      <c r="K89" t="s">
        <v>102</v>
      </c>
      <c r="L89" t="str">
        <f>_xlfn.XLOOKUP(K89,Payment_table[Payment_Mode],Payment_table[Payment_Mode_ID])</f>
        <v>PM03</v>
      </c>
      <c r="M89" t="s">
        <v>377</v>
      </c>
      <c r="N89" t="s">
        <v>378</v>
      </c>
      <c r="O89" s="3">
        <v>36265</v>
      </c>
      <c r="P89" s="3">
        <v>6527.7</v>
      </c>
      <c r="Q89" s="3">
        <v>42792.7</v>
      </c>
      <c r="R89" t="s">
        <v>135</v>
      </c>
    </row>
    <row r="90" spans="1:18" x14ac:dyDescent="0.3">
      <c r="A90" t="s">
        <v>379</v>
      </c>
      <c r="B90" s="1">
        <v>45838</v>
      </c>
      <c r="C90" s="1" t="s">
        <v>19</v>
      </c>
      <c r="D90" t="str">
        <f>_xlfn.XLOOKUP(C90,Company_table[Company_Name],Company_table[Company_ID])</f>
        <v>C002</v>
      </c>
      <c r="E90" t="s">
        <v>51</v>
      </c>
      <c r="F90" t="str">
        <f>_xlfn.XLOOKUP(E90,Account_table[Account_Name],Account_table[Account_ID])</f>
        <v>A008</v>
      </c>
      <c r="G90" t="s">
        <v>72</v>
      </c>
      <c r="H90" t="str">
        <f>_xlfn.XLOOKUP(G90,Cust_Vend_table[Party_Name],Cust_Vend_table[Party_ID])</f>
        <v>P006</v>
      </c>
      <c r="I90" t="s">
        <v>93</v>
      </c>
      <c r="J90" t="str">
        <f>_xlfn.XLOOKUP(I90,Dept_table[Department_Name],Dept_table[Department_ID])</f>
        <v>D005</v>
      </c>
      <c r="K90" t="s">
        <v>104</v>
      </c>
      <c r="L90" t="str">
        <f>_xlfn.XLOOKUP(K90,Payment_table[Payment_Mode],Payment_table[Payment_Mode_ID])</f>
        <v>PM04</v>
      </c>
      <c r="M90" t="s">
        <v>380</v>
      </c>
      <c r="N90" t="s">
        <v>381</v>
      </c>
      <c r="O90" s="3">
        <v>5370</v>
      </c>
      <c r="P90" s="3">
        <v>966.6</v>
      </c>
      <c r="Q90" s="3">
        <v>6336.6</v>
      </c>
      <c r="R90" t="s">
        <v>116</v>
      </c>
    </row>
    <row r="91" spans="1:18" x14ac:dyDescent="0.3">
      <c r="A91" t="s">
        <v>382</v>
      </c>
      <c r="B91" s="1">
        <v>45860</v>
      </c>
      <c r="C91" s="1" t="s">
        <v>23</v>
      </c>
      <c r="D91" t="str">
        <f>_xlfn.XLOOKUP(C91,Company_table[Company_Name],Company_table[Company_ID])</f>
        <v>C003</v>
      </c>
      <c r="E91" t="s">
        <v>47</v>
      </c>
      <c r="F91" t="str">
        <f>_xlfn.XLOOKUP(E91,Account_table[Account_Name],Account_table[Account_ID])</f>
        <v>A006</v>
      </c>
      <c r="G91" t="s">
        <v>74</v>
      </c>
      <c r="H91" t="str">
        <f>_xlfn.XLOOKUP(G91,Cust_Vend_table[Party_Name],Cust_Vend_table[Party_ID])</f>
        <v>P007</v>
      </c>
      <c r="I91" t="s">
        <v>84</v>
      </c>
      <c r="J91" t="str">
        <f>_xlfn.XLOOKUP(I91,Dept_table[Department_Name],Dept_table[Department_ID])</f>
        <v>D002</v>
      </c>
      <c r="K91" t="s">
        <v>98</v>
      </c>
      <c r="L91" t="str">
        <f>_xlfn.XLOOKUP(K91,Payment_table[Payment_Mode],Payment_table[Payment_Mode_ID])</f>
        <v>PM01</v>
      </c>
      <c r="M91" t="s">
        <v>383</v>
      </c>
      <c r="N91" t="s">
        <v>384</v>
      </c>
      <c r="O91" s="3">
        <v>36797</v>
      </c>
      <c r="P91" s="3">
        <v>6623.46</v>
      </c>
      <c r="Q91" s="3">
        <v>43420.46</v>
      </c>
      <c r="R91" t="s">
        <v>116</v>
      </c>
    </row>
    <row r="92" spans="1:18" x14ac:dyDescent="0.3">
      <c r="A92" t="s">
        <v>385</v>
      </c>
      <c r="B92" s="1">
        <v>45906</v>
      </c>
      <c r="C92" s="1" t="s">
        <v>19</v>
      </c>
      <c r="D92" t="str">
        <f>_xlfn.XLOOKUP(C92,Company_table[Company_Name],Company_table[Company_ID])</f>
        <v>C002</v>
      </c>
      <c r="E92" t="s">
        <v>31</v>
      </c>
      <c r="F92" t="str">
        <f>_xlfn.XLOOKUP(E92,Account_table[Account_Name],Account_table[Account_ID])</f>
        <v>A001</v>
      </c>
      <c r="G92" t="s">
        <v>62</v>
      </c>
      <c r="H92" t="str">
        <f>_xlfn.XLOOKUP(G92,Cust_Vend_table[Party_Name],Cust_Vend_table[Party_ID])</f>
        <v>P003</v>
      </c>
      <c r="I92" t="s">
        <v>90</v>
      </c>
      <c r="J92" t="str">
        <f>_xlfn.XLOOKUP(I92,Dept_table[Department_Name],Dept_table[Department_ID])</f>
        <v>D004</v>
      </c>
      <c r="K92" t="s">
        <v>104</v>
      </c>
      <c r="L92" t="str">
        <f>_xlfn.XLOOKUP(K92,Payment_table[Payment_Mode],Payment_table[Payment_Mode_ID])</f>
        <v>PM04</v>
      </c>
      <c r="M92" t="s">
        <v>386</v>
      </c>
      <c r="N92" t="s">
        <v>387</v>
      </c>
      <c r="O92" s="3">
        <v>35902</v>
      </c>
      <c r="P92" s="3">
        <v>6462.36</v>
      </c>
      <c r="Q92" s="3">
        <v>42364.36</v>
      </c>
      <c r="R92" t="s">
        <v>135</v>
      </c>
    </row>
    <row r="93" spans="1:18" x14ac:dyDescent="0.3">
      <c r="A93" t="s">
        <v>388</v>
      </c>
      <c r="B93" s="1">
        <v>46025</v>
      </c>
      <c r="C93" s="1" t="s">
        <v>23</v>
      </c>
      <c r="D93" t="str">
        <f>_xlfn.XLOOKUP(C93,Company_table[Company_Name],Company_table[Company_ID])</f>
        <v>C003</v>
      </c>
      <c r="E93" t="s">
        <v>51</v>
      </c>
      <c r="F93" t="str">
        <f>_xlfn.XLOOKUP(E93,Account_table[Account_Name],Account_table[Account_ID])</f>
        <v>A008</v>
      </c>
      <c r="G93" t="s">
        <v>72</v>
      </c>
      <c r="H93" t="str">
        <f>_xlfn.XLOOKUP(G93,Cust_Vend_table[Party_Name],Cust_Vend_table[Party_ID])</f>
        <v>P006</v>
      </c>
      <c r="I93" t="s">
        <v>90</v>
      </c>
      <c r="J93" t="str">
        <f>_xlfn.XLOOKUP(I93,Dept_table[Department_Name],Dept_table[Department_ID])</f>
        <v>D004</v>
      </c>
      <c r="K93" t="s">
        <v>104</v>
      </c>
      <c r="L93" t="str">
        <f>_xlfn.XLOOKUP(K93,Payment_table[Payment_Mode],Payment_table[Payment_Mode_ID])</f>
        <v>PM04</v>
      </c>
      <c r="M93" t="s">
        <v>389</v>
      </c>
      <c r="N93" t="s">
        <v>390</v>
      </c>
      <c r="O93" s="3">
        <v>36299</v>
      </c>
      <c r="P93" s="3">
        <v>6533.82</v>
      </c>
      <c r="Q93" s="3">
        <v>42832.82</v>
      </c>
      <c r="R93" t="s">
        <v>116</v>
      </c>
    </row>
    <row r="94" spans="1:18" x14ac:dyDescent="0.3">
      <c r="A94" t="s">
        <v>391</v>
      </c>
      <c r="B94" s="1">
        <v>45729</v>
      </c>
      <c r="C94" s="1" t="s">
        <v>14</v>
      </c>
      <c r="D94" t="str">
        <f>_xlfn.XLOOKUP(C94,Company_table[Company_Name],Company_table[Company_ID])</f>
        <v>C001</v>
      </c>
      <c r="E94" t="s">
        <v>31</v>
      </c>
      <c r="F94" t="str">
        <f>_xlfn.XLOOKUP(E94,Account_table[Account_Name],Account_table[Account_ID])</f>
        <v>A001</v>
      </c>
      <c r="G94" t="s">
        <v>60</v>
      </c>
      <c r="H94" t="str">
        <f>_xlfn.XLOOKUP(G94,Cust_Vend_table[Party_Name],Cust_Vend_table[Party_ID])</f>
        <v>P002</v>
      </c>
      <c r="I94" t="s">
        <v>93</v>
      </c>
      <c r="J94" t="str">
        <f>_xlfn.XLOOKUP(I94,Dept_table[Department_Name],Dept_table[Department_ID])</f>
        <v>D005</v>
      </c>
      <c r="K94" t="s">
        <v>98</v>
      </c>
      <c r="L94" t="str">
        <f>_xlfn.XLOOKUP(K94,Payment_table[Payment_Mode],Payment_table[Payment_Mode_ID])</f>
        <v>PM01</v>
      </c>
      <c r="M94" t="s">
        <v>392</v>
      </c>
      <c r="N94" t="s">
        <v>393</v>
      </c>
      <c r="O94" s="3">
        <v>2837</v>
      </c>
      <c r="P94" s="3">
        <v>510.66</v>
      </c>
      <c r="Q94" s="3">
        <v>3347.66</v>
      </c>
      <c r="R94" t="s">
        <v>135</v>
      </c>
    </row>
    <row r="95" spans="1:18" x14ac:dyDescent="0.3">
      <c r="A95" t="s">
        <v>394</v>
      </c>
      <c r="B95" s="1">
        <v>46045</v>
      </c>
      <c r="C95" s="1" t="s">
        <v>14</v>
      </c>
      <c r="D95" t="str">
        <f>_xlfn.XLOOKUP(C95,Company_table[Company_Name],Company_table[Company_ID])</f>
        <v>C001</v>
      </c>
      <c r="E95" t="s">
        <v>35</v>
      </c>
      <c r="F95" t="str">
        <f>_xlfn.XLOOKUP(E95,Account_table[Account_Name],Account_table[Account_ID])</f>
        <v>A002</v>
      </c>
      <c r="G95" t="s">
        <v>60</v>
      </c>
      <c r="H95" t="str">
        <f>_xlfn.XLOOKUP(G95,Cust_Vend_table[Party_Name],Cust_Vend_table[Party_ID])</f>
        <v>P002</v>
      </c>
      <c r="I95" t="s">
        <v>87</v>
      </c>
      <c r="J95" t="str">
        <f>_xlfn.XLOOKUP(I95,Dept_table[Department_Name],Dept_table[Department_ID])</f>
        <v>D003</v>
      </c>
      <c r="K95" t="s">
        <v>102</v>
      </c>
      <c r="L95" t="str">
        <f>_xlfn.XLOOKUP(K95,Payment_table[Payment_Mode],Payment_table[Payment_Mode_ID])</f>
        <v>PM03</v>
      </c>
      <c r="M95" t="s">
        <v>395</v>
      </c>
      <c r="N95" t="s">
        <v>396</v>
      </c>
      <c r="O95" s="3">
        <v>11224</v>
      </c>
      <c r="P95" s="3">
        <v>2020.32</v>
      </c>
      <c r="Q95" s="3">
        <v>13244.32</v>
      </c>
      <c r="R95" t="s">
        <v>135</v>
      </c>
    </row>
    <row r="96" spans="1:18" x14ac:dyDescent="0.3">
      <c r="A96" t="s">
        <v>397</v>
      </c>
      <c r="B96" s="1">
        <v>45774</v>
      </c>
      <c r="C96" s="1" t="s">
        <v>14</v>
      </c>
      <c r="D96" t="str">
        <f>_xlfn.XLOOKUP(C96,Company_table[Company_Name],Company_table[Company_ID])</f>
        <v>C001</v>
      </c>
      <c r="E96" t="s">
        <v>35</v>
      </c>
      <c r="F96" t="str">
        <f>_xlfn.XLOOKUP(E96,Account_table[Account_Name],Account_table[Account_ID])</f>
        <v>A002</v>
      </c>
      <c r="G96" t="s">
        <v>60</v>
      </c>
      <c r="H96" t="str">
        <f>_xlfn.XLOOKUP(G96,Cust_Vend_table[Party_Name],Cust_Vend_table[Party_ID])</f>
        <v>P002</v>
      </c>
      <c r="I96" t="s">
        <v>90</v>
      </c>
      <c r="J96" t="str">
        <f>_xlfn.XLOOKUP(I96,Dept_table[Department_Name],Dept_table[Department_ID])</f>
        <v>D004</v>
      </c>
      <c r="K96" t="s">
        <v>102</v>
      </c>
      <c r="L96" t="str">
        <f>_xlfn.XLOOKUP(K96,Payment_table[Payment_Mode],Payment_table[Payment_Mode_ID])</f>
        <v>PM03</v>
      </c>
      <c r="M96" t="s">
        <v>398</v>
      </c>
      <c r="N96" t="s">
        <v>399</v>
      </c>
      <c r="O96" s="3">
        <v>37780</v>
      </c>
      <c r="P96" s="3">
        <v>6800.4</v>
      </c>
      <c r="Q96" s="3">
        <v>44580.4</v>
      </c>
      <c r="R96" t="s">
        <v>135</v>
      </c>
    </row>
    <row r="97" spans="1:18" x14ac:dyDescent="0.3">
      <c r="A97" t="s">
        <v>400</v>
      </c>
      <c r="B97" s="1">
        <v>45762</v>
      </c>
      <c r="C97" s="1" t="s">
        <v>14</v>
      </c>
      <c r="D97" t="str">
        <f>_xlfn.XLOOKUP(C97,Company_table[Company_Name],Company_table[Company_ID])</f>
        <v>C001</v>
      </c>
      <c r="E97" t="s">
        <v>47</v>
      </c>
      <c r="F97" t="str">
        <f>_xlfn.XLOOKUP(E97,Account_table[Account_Name],Account_table[Account_ID])</f>
        <v>A006</v>
      </c>
      <c r="G97" t="s">
        <v>72</v>
      </c>
      <c r="H97" t="str">
        <f>_xlfn.XLOOKUP(G97,Cust_Vend_table[Party_Name],Cust_Vend_table[Party_ID])</f>
        <v>P006</v>
      </c>
      <c r="I97" t="s">
        <v>93</v>
      </c>
      <c r="J97" t="str">
        <f>_xlfn.XLOOKUP(I97,Dept_table[Department_Name],Dept_table[Department_ID])</f>
        <v>D005</v>
      </c>
      <c r="K97" t="s">
        <v>102</v>
      </c>
      <c r="L97" t="str">
        <f>_xlfn.XLOOKUP(K97,Payment_table[Payment_Mode],Payment_table[Payment_Mode_ID])</f>
        <v>PM03</v>
      </c>
      <c r="M97" t="s">
        <v>401</v>
      </c>
      <c r="N97" t="s">
        <v>402</v>
      </c>
      <c r="O97" s="3">
        <v>25088</v>
      </c>
      <c r="P97" s="3">
        <v>4515.84</v>
      </c>
      <c r="Q97" s="3">
        <v>29603.84</v>
      </c>
      <c r="R97" t="s">
        <v>116</v>
      </c>
    </row>
    <row r="98" spans="1:18" x14ac:dyDescent="0.3">
      <c r="A98" t="s">
        <v>403</v>
      </c>
      <c r="B98" s="1">
        <v>45912</v>
      </c>
      <c r="C98" s="1" t="s">
        <v>14</v>
      </c>
      <c r="D98" t="str">
        <f>_xlfn.XLOOKUP(C98,Company_table[Company_Name],Company_table[Company_ID])</f>
        <v>C001</v>
      </c>
      <c r="E98" t="s">
        <v>31</v>
      </c>
      <c r="F98" t="str">
        <f>_xlfn.XLOOKUP(E98,Account_table[Account_Name],Account_table[Account_ID])</f>
        <v>A001</v>
      </c>
      <c r="G98" t="s">
        <v>65</v>
      </c>
      <c r="H98" t="str">
        <f>_xlfn.XLOOKUP(G98,Cust_Vend_table[Party_Name],Cust_Vend_table[Party_ID])</f>
        <v>P004</v>
      </c>
      <c r="I98" t="s">
        <v>81</v>
      </c>
      <c r="J98" t="str">
        <f>_xlfn.XLOOKUP(I98,Dept_table[Department_Name],Dept_table[Department_ID])</f>
        <v>D001</v>
      </c>
      <c r="K98" t="s">
        <v>102</v>
      </c>
      <c r="L98" t="str">
        <f>_xlfn.XLOOKUP(K98,Payment_table[Payment_Mode],Payment_table[Payment_Mode_ID])</f>
        <v>PM03</v>
      </c>
      <c r="M98" t="s">
        <v>404</v>
      </c>
      <c r="N98" t="s">
        <v>405</v>
      </c>
      <c r="O98" s="3">
        <v>15655</v>
      </c>
      <c r="P98" s="3">
        <v>2817.9</v>
      </c>
      <c r="Q98" s="3">
        <v>18472.900000000001</v>
      </c>
      <c r="R98" t="s">
        <v>135</v>
      </c>
    </row>
    <row r="99" spans="1:18" x14ac:dyDescent="0.3">
      <c r="A99" t="s">
        <v>406</v>
      </c>
      <c r="B99" s="1">
        <v>45763</v>
      </c>
      <c r="C99" s="1" t="s">
        <v>23</v>
      </c>
      <c r="D99" t="str">
        <f>_xlfn.XLOOKUP(C99,Company_table[Company_Name],Company_table[Company_ID])</f>
        <v>C003</v>
      </c>
      <c r="E99" t="s">
        <v>51</v>
      </c>
      <c r="F99" t="str">
        <f>_xlfn.XLOOKUP(E99,Account_table[Account_Name],Account_table[Account_ID])</f>
        <v>A008</v>
      </c>
      <c r="G99" t="s">
        <v>74</v>
      </c>
      <c r="H99" t="str">
        <f>_xlfn.XLOOKUP(G99,Cust_Vend_table[Party_Name],Cust_Vend_table[Party_ID])</f>
        <v>P007</v>
      </c>
      <c r="I99" t="s">
        <v>87</v>
      </c>
      <c r="J99" t="str">
        <f>_xlfn.XLOOKUP(I99,Dept_table[Department_Name],Dept_table[Department_ID])</f>
        <v>D003</v>
      </c>
      <c r="K99" t="s">
        <v>100</v>
      </c>
      <c r="L99" t="str">
        <f>_xlfn.XLOOKUP(K99,Payment_table[Payment_Mode],Payment_table[Payment_Mode_ID])</f>
        <v>PM02</v>
      </c>
      <c r="M99" t="s">
        <v>407</v>
      </c>
      <c r="N99" t="s">
        <v>408</v>
      </c>
      <c r="O99" s="3">
        <v>44273</v>
      </c>
      <c r="P99" s="3">
        <v>7969.14</v>
      </c>
      <c r="Q99" s="3">
        <v>52242.14</v>
      </c>
      <c r="R99" t="s">
        <v>116</v>
      </c>
    </row>
    <row r="100" spans="1:18" x14ac:dyDescent="0.3">
      <c r="A100" t="s">
        <v>409</v>
      </c>
      <c r="B100" s="1">
        <v>45918</v>
      </c>
      <c r="C100" s="1" t="s">
        <v>23</v>
      </c>
      <c r="D100" t="str">
        <f>_xlfn.XLOOKUP(C100,Company_table[Company_Name],Company_table[Company_ID])</f>
        <v>C003</v>
      </c>
      <c r="E100" t="s">
        <v>47</v>
      </c>
      <c r="F100" t="str">
        <f>_xlfn.XLOOKUP(E100,Account_table[Account_Name],Account_table[Account_ID])</f>
        <v>A006</v>
      </c>
      <c r="G100" t="s">
        <v>72</v>
      </c>
      <c r="H100" t="str">
        <f>_xlfn.XLOOKUP(G100,Cust_Vend_table[Party_Name],Cust_Vend_table[Party_ID])</f>
        <v>P006</v>
      </c>
      <c r="I100" t="s">
        <v>81</v>
      </c>
      <c r="J100" t="str">
        <f>_xlfn.XLOOKUP(I100,Dept_table[Department_Name],Dept_table[Department_ID])</f>
        <v>D001</v>
      </c>
      <c r="K100" t="s">
        <v>100</v>
      </c>
      <c r="L100" t="str">
        <f>_xlfn.XLOOKUP(K100,Payment_table[Payment_Mode],Payment_table[Payment_Mode_ID])</f>
        <v>PM02</v>
      </c>
      <c r="M100" t="s">
        <v>410</v>
      </c>
      <c r="N100" t="s">
        <v>411</v>
      </c>
      <c r="O100" s="3">
        <v>17449</v>
      </c>
      <c r="P100" s="3">
        <v>3140.82</v>
      </c>
      <c r="Q100" s="3">
        <v>20589.82</v>
      </c>
      <c r="R100" t="s">
        <v>116</v>
      </c>
    </row>
    <row r="101" spans="1:18" x14ac:dyDescent="0.3">
      <c r="A101" t="s">
        <v>412</v>
      </c>
      <c r="B101" s="1">
        <v>46019</v>
      </c>
      <c r="C101" s="1" t="s">
        <v>23</v>
      </c>
      <c r="D101" t="str">
        <f>_xlfn.XLOOKUP(C101,Company_table[Company_Name],Company_table[Company_ID])</f>
        <v>C003</v>
      </c>
      <c r="E101" t="s">
        <v>37</v>
      </c>
      <c r="F101" t="str">
        <f>_xlfn.XLOOKUP(E101,Account_table[Account_Name],Account_table[Account_ID])</f>
        <v>A003</v>
      </c>
      <c r="G101" t="s">
        <v>57</v>
      </c>
      <c r="H101" t="str">
        <f>_xlfn.XLOOKUP(G101,Cust_Vend_table[Party_Name],Cust_Vend_table[Party_ID])</f>
        <v>P001</v>
      </c>
      <c r="I101" t="s">
        <v>93</v>
      </c>
      <c r="J101" t="str">
        <f>_xlfn.XLOOKUP(I101,Dept_table[Department_Name],Dept_table[Department_ID])</f>
        <v>D005</v>
      </c>
      <c r="K101" t="s">
        <v>102</v>
      </c>
      <c r="L101" t="str">
        <f>_xlfn.XLOOKUP(K101,Payment_table[Payment_Mode],Payment_table[Payment_Mode_ID])</f>
        <v>PM03</v>
      </c>
      <c r="M101" t="s">
        <v>413</v>
      </c>
      <c r="N101" t="s">
        <v>414</v>
      </c>
      <c r="O101" s="3">
        <v>19903</v>
      </c>
      <c r="P101" s="3">
        <v>3582.54</v>
      </c>
      <c r="Q101" s="3">
        <v>23485.54</v>
      </c>
      <c r="R101" t="s">
        <v>135</v>
      </c>
    </row>
    <row r="102" spans="1:18" x14ac:dyDescent="0.3">
      <c r="A102" t="s">
        <v>415</v>
      </c>
      <c r="B102" s="1">
        <v>45981</v>
      </c>
      <c r="C102" s="1" t="s">
        <v>14</v>
      </c>
      <c r="D102" t="str">
        <f>_xlfn.XLOOKUP(C102,Company_table[Company_Name],Company_table[Company_ID])</f>
        <v>C001</v>
      </c>
      <c r="E102" t="s">
        <v>31</v>
      </c>
      <c r="F102" t="str">
        <f>_xlfn.XLOOKUP(E102,Account_table[Account_Name],Account_table[Account_ID])</f>
        <v>A001</v>
      </c>
      <c r="G102" t="s">
        <v>60</v>
      </c>
      <c r="H102" t="str">
        <f>_xlfn.XLOOKUP(G102,Cust_Vend_table[Party_Name],Cust_Vend_table[Party_ID])</f>
        <v>P002</v>
      </c>
      <c r="I102" t="s">
        <v>90</v>
      </c>
      <c r="J102" t="str">
        <f>_xlfn.XLOOKUP(I102,Dept_table[Department_Name],Dept_table[Department_ID])</f>
        <v>D004</v>
      </c>
      <c r="K102" t="s">
        <v>100</v>
      </c>
      <c r="L102" t="str">
        <f>_xlfn.XLOOKUP(K102,Payment_table[Payment_Mode],Payment_table[Payment_Mode_ID])</f>
        <v>PM02</v>
      </c>
      <c r="M102" t="s">
        <v>416</v>
      </c>
      <c r="N102" t="s">
        <v>417</v>
      </c>
      <c r="O102" s="3">
        <v>31051</v>
      </c>
      <c r="P102" s="3">
        <v>5589.18</v>
      </c>
      <c r="Q102" s="3">
        <v>36640.18</v>
      </c>
      <c r="R102" t="s">
        <v>135</v>
      </c>
    </row>
    <row r="103" spans="1:18" x14ac:dyDescent="0.3">
      <c r="A103" t="s">
        <v>418</v>
      </c>
      <c r="B103" s="1">
        <v>45766</v>
      </c>
      <c r="C103" s="1" t="s">
        <v>23</v>
      </c>
      <c r="D103" t="str">
        <f>_xlfn.XLOOKUP(C103,Company_table[Company_Name],Company_table[Company_ID])</f>
        <v>C003</v>
      </c>
      <c r="E103" t="s">
        <v>44</v>
      </c>
      <c r="F103" t="str">
        <f>_xlfn.XLOOKUP(E103,Account_table[Account_Name],Account_table[Account_ID])</f>
        <v>A005</v>
      </c>
      <c r="G103" t="s">
        <v>69</v>
      </c>
      <c r="H103" t="str">
        <f>_xlfn.XLOOKUP(G103,Cust_Vend_table[Party_Name],Cust_Vend_table[Party_ID])</f>
        <v>P005</v>
      </c>
      <c r="I103" t="s">
        <v>84</v>
      </c>
      <c r="J103" t="str">
        <f>_xlfn.XLOOKUP(I103,Dept_table[Department_Name],Dept_table[Department_ID])</f>
        <v>D002</v>
      </c>
      <c r="K103" t="s">
        <v>104</v>
      </c>
      <c r="L103" t="str">
        <f>_xlfn.XLOOKUP(K103,Payment_table[Payment_Mode],Payment_table[Payment_Mode_ID])</f>
        <v>PM04</v>
      </c>
      <c r="M103" t="s">
        <v>419</v>
      </c>
      <c r="N103" t="s">
        <v>420</v>
      </c>
      <c r="O103" s="3">
        <v>10560</v>
      </c>
      <c r="P103" s="3">
        <v>1900.8</v>
      </c>
      <c r="Q103" s="3">
        <v>12460.8</v>
      </c>
      <c r="R103" t="s">
        <v>116</v>
      </c>
    </row>
    <row r="104" spans="1:18" x14ac:dyDescent="0.3">
      <c r="A104" t="s">
        <v>421</v>
      </c>
      <c r="B104" s="1">
        <v>46060</v>
      </c>
      <c r="C104" s="1" t="s">
        <v>14</v>
      </c>
      <c r="D104" t="str">
        <f>_xlfn.XLOOKUP(C104,Company_table[Company_Name],Company_table[Company_ID])</f>
        <v>C001</v>
      </c>
      <c r="E104" t="s">
        <v>40</v>
      </c>
      <c r="F104" t="str">
        <f>_xlfn.XLOOKUP(E104,Account_table[Account_Name],Account_table[Account_ID])</f>
        <v>A004</v>
      </c>
      <c r="G104" t="s">
        <v>72</v>
      </c>
      <c r="H104" t="str">
        <f>_xlfn.XLOOKUP(G104,Cust_Vend_table[Party_Name],Cust_Vend_table[Party_ID])</f>
        <v>P006</v>
      </c>
      <c r="I104" t="s">
        <v>84</v>
      </c>
      <c r="J104" t="str">
        <f>_xlfn.XLOOKUP(I104,Dept_table[Department_Name],Dept_table[Department_ID])</f>
        <v>D002</v>
      </c>
      <c r="K104" t="s">
        <v>98</v>
      </c>
      <c r="L104" t="str">
        <f>_xlfn.XLOOKUP(K104,Payment_table[Payment_Mode],Payment_table[Payment_Mode_ID])</f>
        <v>PM01</v>
      </c>
      <c r="M104" t="s">
        <v>422</v>
      </c>
      <c r="N104" t="s">
        <v>423</v>
      </c>
      <c r="O104" s="3">
        <v>10061</v>
      </c>
      <c r="P104" s="3">
        <v>1810.98</v>
      </c>
      <c r="Q104" s="3">
        <v>11871.98</v>
      </c>
      <c r="R104" t="s">
        <v>116</v>
      </c>
    </row>
    <row r="105" spans="1:18" x14ac:dyDescent="0.3">
      <c r="A105" t="s">
        <v>424</v>
      </c>
      <c r="B105" s="1">
        <v>46014</v>
      </c>
      <c r="C105" s="1" t="s">
        <v>19</v>
      </c>
      <c r="D105" t="str">
        <f>_xlfn.XLOOKUP(C105,Company_table[Company_Name],Company_table[Company_ID])</f>
        <v>C002</v>
      </c>
      <c r="E105" t="s">
        <v>37</v>
      </c>
      <c r="F105" t="str">
        <f>_xlfn.XLOOKUP(E105,Account_table[Account_Name],Account_table[Account_ID])</f>
        <v>A003</v>
      </c>
      <c r="G105" t="s">
        <v>62</v>
      </c>
      <c r="H105" t="str">
        <f>_xlfn.XLOOKUP(G105,Cust_Vend_table[Party_Name],Cust_Vend_table[Party_ID])</f>
        <v>P003</v>
      </c>
      <c r="I105" t="s">
        <v>84</v>
      </c>
      <c r="J105" t="str">
        <f>_xlfn.XLOOKUP(I105,Dept_table[Department_Name],Dept_table[Department_ID])</f>
        <v>D002</v>
      </c>
      <c r="K105" t="s">
        <v>98</v>
      </c>
      <c r="L105" t="str">
        <f>_xlfn.XLOOKUP(K105,Payment_table[Payment_Mode],Payment_table[Payment_Mode_ID])</f>
        <v>PM01</v>
      </c>
      <c r="M105" t="s">
        <v>425</v>
      </c>
      <c r="N105" t="s">
        <v>426</v>
      </c>
      <c r="O105" s="3">
        <v>27702</v>
      </c>
      <c r="P105" s="3">
        <v>4986.3599999999997</v>
      </c>
      <c r="Q105" s="3">
        <v>32688.36</v>
      </c>
      <c r="R105" t="s">
        <v>135</v>
      </c>
    </row>
    <row r="106" spans="1:18" x14ac:dyDescent="0.3">
      <c r="A106" t="s">
        <v>427</v>
      </c>
      <c r="B106" s="1">
        <v>45944</v>
      </c>
      <c r="C106" s="1" t="s">
        <v>23</v>
      </c>
      <c r="D106" t="str">
        <f>_xlfn.XLOOKUP(C106,Company_table[Company_Name],Company_table[Company_ID])</f>
        <v>C003</v>
      </c>
      <c r="E106" t="s">
        <v>44</v>
      </c>
      <c r="F106" t="str">
        <f>_xlfn.XLOOKUP(E106,Account_table[Account_Name],Account_table[Account_ID])</f>
        <v>A005</v>
      </c>
      <c r="G106" t="s">
        <v>74</v>
      </c>
      <c r="H106" t="str">
        <f>_xlfn.XLOOKUP(G106,Cust_Vend_table[Party_Name],Cust_Vend_table[Party_ID])</f>
        <v>P007</v>
      </c>
      <c r="I106" t="s">
        <v>90</v>
      </c>
      <c r="J106" t="str">
        <f>_xlfn.XLOOKUP(I106,Dept_table[Department_Name],Dept_table[Department_ID])</f>
        <v>D004</v>
      </c>
      <c r="K106" t="s">
        <v>98</v>
      </c>
      <c r="L106" t="str">
        <f>_xlfn.XLOOKUP(K106,Payment_table[Payment_Mode],Payment_table[Payment_Mode_ID])</f>
        <v>PM01</v>
      </c>
      <c r="M106" t="s">
        <v>428</v>
      </c>
      <c r="N106" t="s">
        <v>429</v>
      </c>
      <c r="O106" s="3">
        <v>37430</v>
      </c>
      <c r="P106" s="3">
        <v>6737.4</v>
      </c>
      <c r="Q106" s="3">
        <v>44167.4</v>
      </c>
      <c r="R106" t="s">
        <v>116</v>
      </c>
    </row>
    <row r="107" spans="1:18" x14ac:dyDescent="0.3">
      <c r="A107" t="s">
        <v>430</v>
      </c>
      <c r="B107" s="1">
        <v>45820</v>
      </c>
      <c r="C107" s="1" t="s">
        <v>23</v>
      </c>
      <c r="D107" t="str">
        <f>_xlfn.XLOOKUP(C107,Company_table[Company_Name],Company_table[Company_ID])</f>
        <v>C003</v>
      </c>
      <c r="E107" t="s">
        <v>37</v>
      </c>
      <c r="F107" t="str">
        <f>_xlfn.XLOOKUP(E107,Account_table[Account_Name],Account_table[Account_ID])</f>
        <v>A003</v>
      </c>
      <c r="G107" t="s">
        <v>60</v>
      </c>
      <c r="H107" t="str">
        <f>_xlfn.XLOOKUP(G107,Cust_Vend_table[Party_Name],Cust_Vend_table[Party_ID])</f>
        <v>P002</v>
      </c>
      <c r="I107" t="s">
        <v>93</v>
      </c>
      <c r="J107" t="str">
        <f>_xlfn.XLOOKUP(I107,Dept_table[Department_Name],Dept_table[Department_ID])</f>
        <v>D005</v>
      </c>
      <c r="K107" t="s">
        <v>98</v>
      </c>
      <c r="L107" t="str">
        <f>_xlfn.XLOOKUP(K107,Payment_table[Payment_Mode],Payment_table[Payment_Mode_ID])</f>
        <v>PM01</v>
      </c>
      <c r="M107" t="s">
        <v>431</v>
      </c>
      <c r="N107" t="s">
        <v>432</v>
      </c>
      <c r="O107" s="3">
        <v>20996</v>
      </c>
      <c r="P107" s="3">
        <v>3779.28</v>
      </c>
      <c r="Q107" s="3">
        <v>24775.279999999999</v>
      </c>
      <c r="R107" t="s">
        <v>135</v>
      </c>
    </row>
    <row r="108" spans="1:18" x14ac:dyDescent="0.3">
      <c r="A108" t="s">
        <v>433</v>
      </c>
      <c r="B108" s="1">
        <v>46065</v>
      </c>
      <c r="C108" s="1" t="s">
        <v>14</v>
      </c>
      <c r="D108" t="str">
        <f>_xlfn.XLOOKUP(C108,Company_table[Company_Name],Company_table[Company_ID])</f>
        <v>C001</v>
      </c>
      <c r="E108" t="s">
        <v>44</v>
      </c>
      <c r="F108" t="str">
        <f>_xlfn.XLOOKUP(E108,Account_table[Account_Name],Account_table[Account_ID])</f>
        <v>A005</v>
      </c>
      <c r="G108" t="s">
        <v>72</v>
      </c>
      <c r="H108" t="str">
        <f>_xlfn.XLOOKUP(G108,Cust_Vend_table[Party_Name],Cust_Vend_table[Party_ID])</f>
        <v>P006</v>
      </c>
      <c r="I108" t="s">
        <v>93</v>
      </c>
      <c r="J108" t="str">
        <f>_xlfn.XLOOKUP(I108,Dept_table[Department_Name],Dept_table[Department_ID])</f>
        <v>D005</v>
      </c>
      <c r="K108" t="s">
        <v>104</v>
      </c>
      <c r="L108" t="str">
        <f>_xlfn.XLOOKUP(K108,Payment_table[Payment_Mode],Payment_table[Payment_Mode_ID])</f>
        <v>PM04</v>
      </c>
      <c r="M108" t="s">
        <v>434</v>
      </c>
      <c r="N108" t="s">
        <v>435</v>
      </c>
      <c r="O108" s="3">
        <v>47042</v>
      </c>
      <c r="P108" s="3">
        <v>8467.56</v>
      </c>
      <c r="Q108" s="3">
        <v>55509.56</v>
      </c>
      <c r="R108" t="s">
        <v>116</v>
      </c>
    </row>
    <row r="109" spans="1:18" x14ac:dyDescent="0.3">
      <c r="A109" t="s">
        <v>436</v>
      </c>
      <c r="B109" s="1">
        <v>45904</v>
      </c>
      <c r="C109" s="1" t="s">
        <v>19</v>
      </c>
      <c r="D109" t="str">
        <f>_xlfn.XLOOKUP(C109,Company_table[Company_Name],Company_table[Company_ID])</f>
        <v>C002</v>
      </c>
      <c r="E109" t="s">
        <v>37</v>
      </c>
      <c r="F109" t="str">
        <f>_xlfn.XLOOKUP(E109,Account_table[Account_Name],Account_table[Account_ID])</f>
        <v>A003</v>
      </c>
      <c r="G109" t="s">
        <v>57</v>
      </c>
      <c r="H109" t="str">
        <f>_xlfn.XLOOKUP(G109,Cust_Vend_table[Party_Name],Cust_Vend_table[Party_ID])</f>
        <v>P001</v>
      </c>
      <c r="I109" t="s">
        <v>87</v>
      </c>
      <c r="J109" t="str">
        <f>_xlfn.XLOOKUP(I109,Dept_table[Department_Name],Dept_table[Department_ID])</f>
        <v>D003</v>
      </c>
      <c r="K109" t="s">
        <v>102</v>
      </c>
      <c r="L109" t="str">
        <f>_xlfn.XLOOKUP(K109,Payment_table[Payment_Mode],Payment_table[Payment_Mode_ID])</f>
        <v>PM03</v>
      </c>
      <c r="M109" t="s">
        <v>437</v>
      </c>
      <c r="N109" t="s">
        <v>438</v>
      </c>
      <c r="O109" s="3">
        <v>30605</v>
      </c>
      <c r="P109" s="3">
        <v>5508.9</v>
      </c>
      <c r="Q109" s="3">
        <v>36113.9</v>
      </c>
      <c r="R109" t="s">
        <v>135</v>
      </c>
    </row>
    <row r="110" spans="1:18" x14ac:dyDescent="0.3">
      <c r="A110" t="s">
        <v>439</v>
      </c>
      <c r="B110" s="1">
        <v>45755</v>
      </c>
      <c r="C110" s="1" t="s">
        <v>14</v>
      </c>
      <c r="D110" t="str">
        <f>_xlfn.XLOOKUP(C110,Company_table[Company_Name],Company_table[Company_ID])</f>
        <v>C001</v>
      </c>
      <c r="E110" t="s">
        <v>31</v>
      </c>
      <c r="F110" t="str">
        <f>_xlfn.XLOOKUP(E110,Account_table[Account_Name],Account_table[Account_ID])</f>
        <v>A001</v>
      </c>
      <c r="G110" t="s">
        <v>62</v>
      </c>
      <c r="H110" t="str">
        <f>_xlfn.XLOOKUP(G110,Cust_Vend_table[Party_Name],Cust_Vend_table[Party_ID])</f>
        <v>P003</v>
      </c>
      <c r="I110" t="s">
        <v>93</v>
      </c>
      <c r="J110" t="str">
        <f>_xlfn.XLOOKUP(I110,Dept_table[Department_Name],Dept_table[Department_ID])</f>
        <v>D005</v>
      </c>
      <c r="K110" t="s">
        <v>100</v>
      </c>
      <c r="L110" t="str">
        <f>_xlfn.XLOOKUP(K110,Payment_table[Payment_Mode],Payment_table[Payment_Mode_ID])</f>
        <v>PM02</v>
      </c>
      <c r="M110" t="s">
        <v>440</v>
      </c>
      <c r="N110" t="s">
        <v>441</v>
      </c>
      <c r="O110" s="3">
        <v>3298</v>
      </c>
      <c r="P110" s="3">
        <v>593.64</v>
      </c>
      <c r="Q110" s="3">
        <v>3891.64</v>
      </c>
      <c r="R110" t="s">
        <v>135</v>
      </c>
    </row>
    <row r="111" spans="1:18" x14ac:dyDescent="0.3">
      <c r="A111" t="s">
        <v>442</v>
      </c>
      <c r="B111" s="1">
        <v>46021</v>
      </c>
      <c r="C111" s="1" t="s">
        <v>23</v>
      </c>
      <c r="D111" t="str">
        <f>_xlfn.XLOOKUP(C111,Company_table[Company_Name],Company_table[Company_ID])</f>
        <v>C003</v>
      </c>
      <c r="E111" t="s">
        <v>49</v>
      </c>
      <c r="F111" t="str">
        <f>_xlfn.XLOOKUP(E111,Account_table[Account_Name],Account_table[Account_ID])</f>
        <v>A007</v>
      </c>
      <c r="G111" t="s">
        <v>69</v>
      </c>
      <c r="H111" t="str">
        <f>_xlfn.XLOOKUP(G111,Cust_Vend_table[Party_Name],Cust_Vend_table[Party_ID])</f>
        <v>P005</v>
      </c>
      <c r="I111" t="s">
        <v>81</v>
      </c>
      <c r="J111" t="str">
        <f>_xlfn.XLOOKUP(I111,Dept_table[Department_Name],Dept_table[Department_ID])</f>
        <v>D001</v>
      </c>
      <c r="K111" t="s">
        <v>100</v>
      </c>
      <c r="L111" t="str">
        <f>_xlfn.XLOOKUP(K111,Payment_table[Payment_Mode],Payment_table[Payment_Mode_ID])</f>
        <v>PM02</v>
      </c>
      <c r="M111" t="s">
        <v>443</v>
      </c>
      <c r="N111" t="s">
        <v>444</v>
      </c>
      <c r="O111" s="3">
        <v>13703</v>
      </c>
      <c r="P111" s="3">
        <v>2466.54</v>
      </c>
      <c r="Q111" s="3">
        <v>16169.54</v>
      </c>
      <c r="R111" t="s">
        <v>116</v>
      </c>
    </row>
    <row r="112" spans="1:18" x14ac:dyDescent="0.3">
      <c r="A112" t="s">
        <v>445</v>
      </c>
      <c r="B112" s="1">
        <v>46067</v>
      </c>
      <c r="C112" s="1" t="s">
        <v>23</v>
      </c>
      <c r="D112" t="str">
        <f>_xlfn.XLOOKUP(C112,Company_table[Company_Name],Company_table[Company_ID])</f>
        <v>C003</v>
      </c>
      <c r="E112" t="s">
        <v>37</v>
      </c>
      <c r="F112" t="str">
        <f>_xlfn.XLOOKUP(E112,Account_table[Account_Name],Account_table[Account_ID])</f>
        <v>A003</v>
      </c>
      <c r="G112" t="s">
        <v>60</v>
      </c>
      <c r="H112" t="str">
        <f>_xlfn.XLOOKUP(G112,Cust_Vend_table[Party_Name],Cust_Vend_table[Party_ID])</f>
        <v>P002</v>
      </c>
      <c r="I112" t="s">
        <v>93</v>
      </c>
      <c r="J112" t="str">
        <f>_xlfn.XLOOKUP(I112,Dept_table[Department_Name],Dept_table[Department_ID])</f>
        <v>D005</v>
      </c>
      <c r="K112" t="s">
        <v>98</v>
      </c>
      <c r="L112" t="str">
        <f>_xlfn.XLOOKUP(K112,Payment_table[Payment_Mode],Payment_table[Payment_Mode_ID])</f>
        <v>PM01</v>
      </c>
      <c r="M112" t="s">
        <v>446</v>
      </c>
      <c r="N112" t="s">
        <v>447</v>
      </c>
      <c r="O112" s="3">
        <v>30639</v>
      </c>
      <c r="P112" s="3">
        <v>5515.02</v>
      </c>
      <c r="Q112" s="3">
        <v>36154.019999999997</v>
      </c>
      <c r="R112" t="s">
        <v>135</v>
      </c>
    </row>
    <row r="113" spans="1:18" x14ac:dyDescent="0.3">
      <c r="A113" t="s">
        <v>448</v>
      </c>
      <c r="B113" s="1">
        <v>45832</v>
      </c>
      <c r="C113" s="1" t="s">
        <v>19</v>
      </c>
      <c r="D113" t="str">
        <f>_xlfn.XLOOKUP(C113,Company_table[Company_Name],Company_table[Company_ID])</f>
        <v>C002</v>
      </c>
      <c r="E113" t="s">
        <v>40</v>
      </c>
      <c r="F113" t="str">
        <f>_xlfn.XLOOKUP(E113,Account_table[Account_Name],Account_table[Account_ID])</f>
        <v>A004</v>
      </c>
      <c r="G113" t="s">
        <v>69</v>
      </c>
      <c r="H113" t="str">
        <f>_xlfn.XLOOKUP(G113,Cust_Vend_table[Party_Name],Cust_Vend_table[Party_ID])</f>
        <v>P005</v>
      </c>
      <c r="I113" t="s">
        <v>90</v>
      </c>
      <c r="J113" t="str">
        <f>_xlfn.XLOOKUP(I113,Dept_table[Department_Name],Dept_table[Department_ID])</f>
        <v>D004</v>
      </c>
      <c r="K113" t="s">
        <v>100</v>
      </c>
      <c r="L113" t="str">
        <f>_xlfn.XLOOKUP(K113,Payment_table[Payment_Mode],Payment_table[Payment_Mode_ID])</f>
        <v>PM02</v>
      </c>
      <c r="M113" t="s">
        <v>449</v>
      </c>
      <c r="N113" t="s">
        <v>450</v>
      </c>
      <c r="O113" s="3">
        <v>41902</v>
      </c>
      <c r="P113" s="3">
        <v>7542.36</v>
      </c>
      <c r="Q113" s="3">
        <v>49444.36</v>
      </c>
      <c r="R113" t="s">
        <v>116</v>
      </c>
    </row>
    <row r="114" spans="1:18" x14ac:dyDescent="0.3">
      <c r="A114" t="s">
        <v>451</v>
      </c>
      <c r="B114" s="1">
        <v>45758</v>
      </c>
      <c r="C114" s="1" t="s">
        <v>23</v>
      </c>
      <c r="D114" t="str">
        <f>_xlfn.XLOOKUP(C114,Company_table[Company_Name],Company_table[Company_ID])</f>
        <v>C003</v>
      </c>
      <c r="E114" t="s">
        <v>37</v>
      </c>
      <c r="F114" t="str">
        <f>_xlfn.XLOOKUP(E114,Account_table[Account_Name],Account_table[Account_ID])</f>
        <v>A003</v>
      </c>
      <c r="G114" t="s">
        <v>62</v>
      </c>
      <c r="H114" t="str">
        <f>_xlfn.XLOOKUP(G114,Cust_Vend_table[Party_Name],Cust_Vend_table[Party_ID])</f>
        <v>P003</v>
      </c>
      <c r="I114" t="s">
        <v>84</v>
      </c>
      <c r="J114" t="str">
        <f>_xlfn.XLOOKUP(I114,Dept_table[Department_Name],Dept_table[Department_ID])</f>
        <v>D002</v>
      </c>
      <c r="K114" t="s">
        <v>104</v>
      </c>
      <c r="L114" t="str">
        <f>_xlfn.XLOOKUP(K114,Payment_table[Payment_Mode],Payment_table[Payment_Mode_ID])</f>
        <v>PM04</v>
      </c>
      <c r="M114" t="s">
        <v>452</v>
      </c>
      <c r="N114" t="s">
        <v>453</v>
      </c>
      <c r="O114" s="3">
        <v>40969</v>
      </c>
      <c r="P114" s="3">
        <v>7374.42</v>
      </c>
      <c r="Q114" s="3">
        <v>48343.42</v>
      </c>
      <c r="R114" t="s">
        <v>135</v>
      </c>
    </row>
    <row r="115" spans="1:18" x14ac:dyDescent="0.3">
      <c r="A115" t="s">
        <v>454</v>
      </c>
      <c r="B115" s="1">
        <v>45803</v>
      </c>
      <c r="C115" s="1" t="s">
        <v>14</v>
      </c>
      <c r="D115" t="str">
        <f>_xlfn.XLOOKUP(C115,Company_table[Company_Name],Company_table[Company_ID])</f>
        <v>C001</v>
      </c>
      <c r="E115" t="s">
        <v>44</v>
      </c>
      <c r="F115" t="str">
        <f>_xlfn.XLOOKUP(E115,Account_table[Account_Name],Account_table[Account_ID])</f>
        <v>A005</v>
      </c>
      <c r="G115" t="s">
        <v>74</v>
      </c>
      <c r="H115" t="str">
        <f>_xlfn.XLOOKUP(G115,Cust_Vend_table[Party_Name],Cust_Vend_table[Party_ID])</f>
        <v>P007</v>
      </c>
      <c r="I115" t="s">
        <v>87</v>
      </c>
      <c r="J115" t="str">
        <f>_xlfn.XLOOKUP(I115,Dept_table[Department_Name],Dept_table[Department_ID])</f>
        <v>D003</v>
      </c>
      <c r="K115" t="s">
        <v>102</v>
      </c>
      <c r="L115" t="str">
        <f>_xlfn.XLOOKUP(K115,Payment_table[Payment_Mode],Payment_table[Payment_Mode_ID])</f>
        <v>PM03</v>
      </c>
      <c r="M115" t="s">
        <v>455</v>
      </c>
      <c r="N115" t="s">
        <v>456</v>
      </c>
      <c r="O115" s="3">
        <v>2402</v>
      </c>
      <c r="P115" s="3">
        <v>432.36</v>
      </c>
      <c r="Q115" s="3">
        <v>2834.36</v>
      </c>
      <c r="R115" t="s">
        <v>116</v>
      </c>
    </row>
    <row r="116" spans="1:18" x14ac:dyDescent="0.3">
      <c r="A116" t="s">
        <v>457</v>
      </c>
      <c r="B116" s="1">
        <v>45968</v>
      </c>
      <c r="C116" s="1" t="s">
        <v>19</v>
      </c>
      <c r="D116" t="str">
        <f>_xlfn.XLOOKUP(C116,Company_table[Company_Name],Company_table[Company_ID])</f>
        <v>C002</v>
      </c>
      <c r="E116" t="s">
        <v>31</v>
      </c>
      <c r="F116" t="str">
        <f>_xlfn.XLOOKUP(E116,Account_table[Account_Name],Account_table[Account_ID])</f>
        <v>A001</v>
      </c>
      <c r="G116" t="s">
        <v>57</v>
      </c>
      <c r="H116" t="str">
        <f>_xlfn.XLOOKUP(G116,Cust_Vend_table[Party_Name],Cust_Vend_table[Party_ID])</f>
        <v>P001</v>
      </c>
      <c r="I116" t="s">
        <v>90</v>
      </c>
      <c r="J116" t="str">
        <f>_xlfn.XLOOKUP(I116,Dept_table[Department_Name],Dept_table[Department_ID])</f>
        <v>D004</v>
      </c>
      <c r="K116" t="s">
        <v>100</v>
      </c>
      <c r="L116" t="str">
        <f>_xlfn.XLOOKUP(K116,Payment_table[Payment_Mode],Payment_table[Payment_Mode_ID])</f>
        <v>PM02</v>
      </c>
      <c r="M116" t="s">
        <v>458</v>
      </c>
      <c r="N116" t="s">
        <v>459</v>
      </c>
      <c r="O116" s="3">
        <v>29373</v>
      </c>
      <c r="P116" s="3">
        <v>5287.14</v>
      </c>
      <c r="Q116" s="3">
        <v>34660.14</v>
      </c>
      <c r="R116" t="s">
        <v>135</v>
      </c>
    </row>
    <row r="117" spans="1:18" x14ac:dyDescent="0.3">
      <c r="A117" t="s">
        <v>460</v>
      </c>
      <c r="B117" s="1">
        <v>45688</v>
      </c>
      <c r="C117" s="1" t="s">
        <v>14</v>
      </c>
      <c r="D117" t="str">
        <f>_xlfn.XLOOKUP(C117,Company_table[Company_Name],Company_table[Company_ID])</f>
        <v>C001</v>
      </c>
      <c r="E117" t="s">
        <v>44</v>
      </c>
      <c r="F117" t="str">
        <f>_xlfn.XLOOKUP(E117,Account_table[Account_Name],Account_table[Account_ID])</f>
        <v>A005</v>
      </c>
      <c r="G117" t="s">
        <v>69</v>
      </c>
      <c r="H117" t="str">
        <f>_xlfn.XLOOKUP(G117,Cust_Vend_table[Party_Name],Cust_Vend_table[Party_ID])</f>
        <v>P005</v>
      </c>
      <c r="I117" t="s">
        <v>93</v>
      </c>
      <c r="J117" t="str">
        <f>_xlfn.XLOOKUP(I117,Dept_table[Department_Name],Dept_table[Department_ID])</f>
        <v>D005</v>
      </c>
      <c r="K117" t="s">
        <v>102</v>
      </c>
      <c r="L117" t="str">
        <f>_xlfn.XLOOKUP(K117,Payment_table[Payment_Mode],Payment_table[Payment_Mode_ID])</f>
        <v>PM03</v>
      </c>
      <c r="M117" t="s">
        <v>461</v>
      </c>
      <c r="N117" t="s">
        <v>462</v>
      </c>
      <c r="O117" s="3">
        <v>43447</v>
      </c>
      <c r="P117" s="3">
        <v>7820.46</v>
      </c>
      <c r="Q117" s="3">
        <v>51267.46</v>
      </c>
      <c r="R117" t="s">
        <v>116</v>
      </c>
    </row>
    <row r="118" spans="1:18" x14ac:dyDescent="0.3">
      <c r="A118" t="s">
        <v>463</v>
      </c>
      <c r="B118" s="1">
        <v>45767</v>
      </c>
      <c r="C118" s="1" t="s">
        <v>23</v>
      </c>
      <c r="D118" t="str">
        <f>_xlfn.XLOOKUP(C118,Company_table[Company_Name],Company_table[Company_ID])</f>
        <v>C003</v>
      </c>
      <c r="E118" t="s">
        <v>44</v>
      </c>
      <c r="F118" t="str">
        <f>_xlfn.XLOOKUP(E118,Account_table[Account_Name],Account_table[Account_ID])</f>
        <v>A005</v>
      </c>
      <c r="G118" t="s">
        <v>76</v>
      </c>
      <c r="H118" t="str">
        <f>_xlfn.XLOOKUP(G118,Cust_Vend_table[Party_Name],Cust_Vend_table[Party_ID])</f>
        <v>P008</v>
      </c>
      <c r="I118" t="s">
        <v>84</v>
      </c>
      <c r="J118" t="str">
        <f>_xlfn.XLOOKUP(I118,Dept_table[Department_Name],Dept_table[Department_ID])</f>
        <v>D002</v>
      </c>
      <c r="K118" t="s">
        <v>102</v>
      </c>
      <c r="L118" t="str">
        <f>_xlfn.XLOOKUP(K118,Payment_table[Payment_Mode],Payment_table[Payment_Mode_ID])</f>
        <v>PM03</v>
      </c>
      <c r="M118" t="s">
        <v>464</v>
      </c>
      <c r="N118" t="s">
        <v>465</v>
      </c>
      <c r="O118" s="3">
        <v>42470</v>
      </c>
      <c r="P118" s="3">
        <v>7644.6</v>
      </c>
      <c r="Q118" s="3">
        <v>50114.6</v>
      </c>
      <c r="R118" t="s">
        <v>116</v>
      </c>
    </row>
    <row r="119" spans="1:18" x14ac:dyDescent="0.3">
      <c r="A119" t="s">
        <v>466</v>
      </c>
      <c r="B119" s="1">
        <v>45830</v>
      </c>
      <c r="C119" s="1" t="s">
        <v>23</v>
      </c>
      <c r="D119" t="str">
        <f>_xlfn.XLOOKUP(C119,Company_table[Company_Name],Company_table[Company_ID])</f>
        <v>C003</v>
      </c>
      <c r="E119" t="s">
        <v>35</v>
      </c>
      <c r="F119" t="str">
        <f>_xlfn.XLOOKUP(E119,Account_table[Account_Name],Account_table[Account_ID])</f>
        <v>A002</v>
      </c>
      <c r="G119" t="s">
        <v>65</v>
      </c>
      <c r="H119" t="str">
        <f>_xlfn.XLOOKUP(G119,Cust_Vend_table[Party_Name],Cust_Vend_table[Party_ID])</f>
        <v>P004</v>
      </c>
      <c r="I119" t="s">
        <v>87</v>
      </c>
      <c r="J119" t="str">
        <f>_xlfn.XLOOKUP(I119,Dept_table[Department_Name],Dept_table[Department_ID])</f>
        <v>D003</v>
      </c>
      <c r="K119" t="s">
        <v>104</v>
      </c>
      <c r="L119" t="str">
        <f>_xlfn.XLOOKUP(K119,Payment_table[Payment_Mode],Payment_table[Payment_Mode_ID])</f>
        <v>PM04</v>
      </c>
      <c r="M119" t="s">
        <v>467</v>
      </c>
      <c r="N119" t="s">
        <v>468</v>
      </c>
      <c r="O119" s="3">
        <v>25035</v>
      </c>
      <c r="P119" s="3">
        <v>4506.3</v>
      </c>
      <c r="Q119" s="3">
        <v>29541.3</v>
      </c>
      <c r="R119" t="s">
        <v>135</v>
      </c>
    </row>
    <row r="120" spans="1:18" x14ac:dyDescent="0.3">
      <c r="A120" t="s">
        <v>469</v>
      </c>
      <c r="B120" s="1">
        <v>45782</v>
      </c>
      <c r="C120" s="1" t="s">
        <v>23</v>
      </c>
      <c r="D120" t="str">
        <f>_xlfn.XLOOKUP(C120,Company_table[Company_Name],Company_table[Company_ID])</f>
        <v>C003</v>
      </c>
      <c r="E120" t="s">
        <v>51</v>
      </c>
      <c r="F120" t="str">
        <f>_xlfn.XLOOKUP(E120,Account_table[Account_Name],Account_table[Account_ID])</f>
        <v>A008</v>
      </c>
      <c r="G120" t="s">
        <v>74</v>
      </c>
      <c r="H120" t="str">
        <f>_xlfn.XLOOKUP(G120,Cust_Vend_table[Party_Name],Cust_Vend_table[Party_ID])</f>
        <v>P007</v>
      </c>
      <c r="I120" t="s">
        <v>81</v>
      </c>
      <c r="J120" t="str">
        <f>_xlfn.XLOOKUP(I120,Dept_table[Department_Name],Dept_table[Department_ID])</f>
        <v>D001</v>
      </c>
      <c r="K120" t="s">
        <v>102</v>
      </c>
      <c r="L120" t="str">
        <f>_xlfn.XLOOKUP(K120,Payment_table[Payment_Mode],Payment_table[Payment_Mode_ID])</f>
        <v>PM03</v>
      </c>
      <c r="M120" t="s">
        <v>470</v>
      </c>
      <c r="N120" t="s">
        <v>471</v>
      </c>
      <c r="O120" s="3">
        <v>30483</v>
      </c>
      <c r="P120" s="3">
        <v>5486.94</v>
      </c>
      <c r="Q120" s="3">
        <v>35969.94</v>
      </c>
      <c r="R120" t="s">
        <v>116</v>
      </c>
    </row>
    <row r="121" spans="1:18" x14ac:dyDescent="0.3">
      <c r="A121" t="s">
        <v>472</v>
      </c>
      <c r="B121" s="1">
        <v>45912</v>
      </c>
      <c r="C121" s="1" t="s">
        <v>14</v>
      </c>
      <c r="D121" t="str">
        <f>_xlfn.XLOOKUP(C121,Company_table[Company_Name],Company_table[Company_ID])</f>
        <v>C001</v>
      </c>
      <c r="E121" t="s">
        <v>35</v>
      </c>
      <c r="F121" t="str">
        <f>_xlfn.XLOOKUP(E121,Account_table[Account_Name],Account_table[Account_ID])</f>
        <v>A002</v>
      </c>
      <c r="G121" t="s">
        <v>57</v>
      </c>
      <c r="H121" t="str">
        <f>_xlfn.XLOOKUP(G121,Cust_Vend_table[Party_Name],Cust_Vend_table[Party_ID])</f>
        <v>P001</v>
      </c>
      <c r="I121" t="s">
        <v>84</v>
      </c>
      <c r="J121" t="str">
        <f>_xlfn.XLOOKUP(I121,Dept_table[Department_Name],Dept_table[Department_ID])</f>
        <v>D002</v>
      </c>
      <c r="K121" t="s">
        <v>98</v>
      </c>
      <c r="L121" t="str">
        <f>_xlfn.XLOOKUP(K121,Payment_table[Payment_Mode],Payment_table[Payment_Mode_ID])</f>
        <v>PM01</v>
      </c>
      <c r="M121" t="s">
        <v>473</v>
      </c>
      <c r="N121" t="s">
        <v>474</v>
      </c>
      <c r="O121" s="3">
        <v>6624</v>
      </c>
      <c r="P121" s="3">
        <v>1192.32</v>
      </c>
      <c r="Q121" s="3">
        <v>7816.32</v>
      </c>
      <c r="R121" t="s">
        <v>135</v>
      </c>
    </row>
    <row r="122" spans="1:18" x14ac:dyDescent="0.3">
      <c r="A122" t="s">
        <v>475</v>
      </c>
      <c r="B122" s="1">
        <v>45711</v>
      </c>
      <c r="C122" s="1" t="s">
        <v>19</v>
      </c>
      <c r="D122" t="str">
        <f>_xlfn.XLOOKUP(C122,Company_table[Company_Name],Company_table[Company_ID])</f>
        <v>C002</v>
      </c>
      <c r="E122" t="s">
        <v>35</v>
      </c>
      <c r="F122" t="str">
        <f>_xlfn.XLOOKUP(E122,Account_table[Account_Name],Account_table[Account_ID])</f>
        <v>A002</v>
      </c>
      <c r="G122" t="s">
        <v>65</v>
      </c>
      <c r="H122" t="str">
        <f>_xlfn.XLOOKUP(G122,Cust_Vend_table[Party_Name],Cust_Vend_table[Party_ID])</f>
        <v>P004</v>
      </c>
      <c r="I122" t="s">
        <v>93</v>
      </c>
      <c r="J122" t="str">
        <f>_xlfn.XLOOKUP(I122,Dept_table[Department_Name],Dept_table[Department_ID])</f>
        <v>D005</v>
      </c>
      <c r="K122" t="s">
        <v>100</v>
      </c>
      <c r="L122" t="str">
        <f>_xlfn.XLOOKUP(K122,Payment_table[Payment_Mode],Payment_table[Payment_Mode_ID])</f>
        <v>PM02</v>
      </c>
      <c r="M122" t="s">
        <v>476</v>
      </c>
      <c r="N122" t="s">
        <v>477</v>
      </c>
      <c r="O122" s="3">
        <v>45787</v>
      </c>
      <c r="P122" s="3">
        <v>8241.66</v>
      </c>
      <c r="Q122" s="3">
        <v>54028.66</v>
      </c>
      <c r="R122" t="s">
        <v>135</v>
      </c>
    </row>
    <row r="123" spans="1:18" x14ac:dyDescent="0.3">
      <c r="A123" t="s">
        <v>478</v>
      </c>
      <c r="B123" s="1">
        <v>46071</v>
      </c>
      <c r="C123" s="1" t="s">
        <v>23</v>
      </c>
      <c r="D123" t="str">
        <f>_xlfn.XLOOKUP(C123,Company_table[Company_Name],Company_table[Company_ID])</f>
        <v>C003</v>
      </c>
      <c r="E123" t="s">
        <v>47</v>
      </c>
      <c r="F123" t="str">
        <f>_xlfn.XLOOKUP(E123,Account_table[Account_Name],Account_table[Account_ID])</f>
        <v>A006</v>
      </c>
      <c r="G123" t="s">
        <v>72</v>
      </c>
      <c r="H123" t="str">
        <f>_xlfn.XLOOKUP(G123,Cust_Vend_table[Party_Name],Cust_Vend_table[Party_ID])</f>
        <v>P006</v>
      </c>
      <c r="I123" t="s">
        <v>84</v>
      </c>
      <c r="J123" t="str">
        <f>_xlfn.XLOOKUP(I123,Dept_table[Department_Name],Dept_table[Department_ID])</f>
        <v>D002</v>
      </c>
      <c r="K123" t="s">
        <v>102</v>
      </c>
      <c r="L123" t="str">
        <f>_xlfn.XLOOKUP(K123,Payment_table[Payment_Mode],Payment_table[Payment_Mode_ID])</f>
        <v>PM03</v>
      </c>
      <c r="M123" t="s">
        <v>479</v>
      </c>
      <c r="N123" t="s">
        <v>480</v>
      </c>
      <c r="O123" s="3">
        <v>47012</v>
      </c>
      <c r="P123" s="3">
        <v>8462.16</v>
      </c>
      <c r="Q123" s="3">
        <v>55474.16</v>
      </c>
      <c r="R123" t="s">
        <v>116</v>
      </c>
    </row>
    <row r="124" spans="1:18" x14ac:dyDescent="0.3">
      <c r="A124" t="s">
        <v>481</v>
      </c>
      <c r="B124" s="1">
        <v>45999</v>
      </c>
      <c r="C124" s="1" t="s">
        <v>19</v>
      </c>
      <c r="D124" t="str">
        <f>_xlfn.XLOOKUP(C124,Company_table[Company_Name],Company_table[Company_ID])</f>
        <v>C002</v>
      </c>
      <c r="E124" t="s">
        <v>31</v>
      </c>
      <c r="F124" t="str">
        <f>_xlfn.XLOOKUP(E124,Account_table[Account_Name],Account_table[Account_ID])</f>
        <v>A001</v>
      </c>
      <c r="G124" t="s">
        <v>60</v>
      </c>
      <c r="H124" t="str">
        <f>_xlfn.XLOOKUP(G124,Cust_Vend_table[Party_Name],Cust_Vend_table[Party_ID])</f>
        <v>P002</v>
      </c>
      <c r="I124" t="s">
        <v>81</v>
      </c>
      <c r="J124" t="str">
        <f>_xlfn.XLOOKUP(I124,Dept_table[Department_Name],Dept_table[Department_ID])</f>
        <v>D001</v>
      </c>
      <c r="K124" t="s">
        <v>100</v>
      </c>
      <c r="L124" t="str">
        <f>_xlfn.XLOOKUP(K124,Payment_table[Payment_Mode],Payment_table[Payment_Mode_ID])</f>
        <v>PM02</v>
      </c>
      <c r="M124" t="s">
        <v>482</v>
      </c>
      <c r="N124" t="s">
        <v>483</v>
      </c>
      <c r="O124" s="3">
        <v>17266</v>
      </c>
      <c r="P124" s="3">
        <v>3107.88</v>
      </c>
      <c r="Q124" s="3">
        <v>20373.88</v>
      </c>
      <c r="R124" t="s">
        <v>135</v>
      </c>
    </row>
    <row r="125" spans="1:18" x14ac:dyDescent="0.3">
      <c r="A125" t="s">
        <v>484</v>
      </c>
      <c r="B125" s="1">
        <v>46016</v>
      </c>
      <c r="C125" s="1" t="s">
        <v>14</v>
      </c>
      <c r="D125" t="str">
        <f>_xlfn.XLOOKUP(C125,Company_table[Company_Name],Company_table[Company_ID])</f>
        <v>C001</v>
      </c>
      <c r="E125" t="s">
        <v>37</v>
      </c>
      <c r="F125" t="str">
        <f>_xlfn.XLOOKUP(E125,Account_table[Account_Name],Account_table[Account_ID])</f>
        <v>A003</v>
      </c>
      <c r="G125" t="s">
        <v>65</v>
      </c>
      <c r="H125" t="str">
        <f>_xlfn.XLOOKUP(G125,Cust_Vend_table[Party_Name],Cust_Vend_table[Party_ID])</f>
        <v>P004</v>
      </c>
      <c r="I125" t="s">
        <v>81</v>
      </c>
      <c r="J125" t="str">
        <f>_xlfn.XLOOKUP(I125,Dept_table[Department_Name],Dept_table[Department_ID])</f>
        <v>D001</v>
      </c>
      <c r="K125" t="s">
        <v>98</v>
      </c>
      <c r="L125" t="str">
        <f>_xlfn.XLOOKUP(K125,Payment_table[Payment_Mode],Payment_table[Payment_Mode_ID])</f>
        <v>PM01</v>
      </c>
      <c r="M125" t="s">
        <v>485</v>
      </c>
      <c r="N125" t="s">
        <v>486</v>
      </c>
      <c r="O125" s="3">
        <v>46013</v>
      </c>
      <c r="P125" s="3">
        <v>8282.34</v>
      </c>
      <c r="Q125" s="3">
        <v>54295.34</v>
      </c>
      <c r="R125" t="s">
        <v>135</v>
      </c>
    </row>
    <row r="126" spans="1:18" x14ac:dyDescent="0.3">
      <c r="A126" t="s">
        <v>487</v>
      </c>
      <c r="B126" s="1">
        <v>45865</v>
      </c>
      <c r="C126" s="1" t="s">
        <v>23</v>
      </c>
      <c r="D126" t="str">
        <f>_xlfn.XLOOKUP(C126,Company_table[Company_Name],Company_table[Company_ID])</f>
        <v>C003</v>
      </c>
      <c r="E126" t="s">
        <v>31</v>
      </c>
      <c r="F126" t="str">
        <f>_xlfn.XLOOKUP(E126,Account_table[Account_Name],Account_table[Account_ID])</f>
        <v>A001</v>
      </c>
      <c r="G126" t="s">
        <v>60</v>
      </c>
      <c r="H126" t="str">
        <f>_xlfn.XLOOKUP(G126,Cust_Vend_table[Party_Name],Cust_Vend_table[Party_ID])</f>
        <v>P002</v>
      </c>
      <c r="I126" t="s">
        <v>93</v>
      </c>
      <c r="J126" t="str">
        <f>_xlfn.XLOOKUP(I126,Dept_table[Department_Name],Dept_table[Department_ID])</f>
        <v>D005</v>
      </c>
      <c r="K126" t="s">
        <v>100</v>
      </c>
      <c r="L126" t="str">
        <f>_xlfn.XLOOKUP(K126,Payment_table[Payment_Mode],Payment_table[Payment_Mode_ID])</f>
        <v>PM02</v>
      </c>
      <c r="M126" t="s">
        <v>488</v>
      </c>
      <c r="N126" t="s">
        <v>489</v>
      </c>
      <c r="O126" s="3">
        <v>15695</v>
      </c>
      <c r="P126" s="3">
        <v>2825.1</v>
      </c>
      <c r="Q126" s="3">
        <v>18520.099999999999</v>
      </c>
      <c r="R126" t="s">
        <v>135</v>
      </c>
    </row>
    <row r="127" spans="1:18" x14ac:dyDescent="0.3">
      <c r="A127" t="s">
        <v>490</v>
      </c>
      <c r="B127" s="1">
        <v>45789</v>
      </c>
      <c r="C127" s="1" t="s">
        <v>23</v>
      </c>
      <c r="D127" t="str">
        <f>_xlfn.XLOOKUP(C127,Company_table[Company_Name],Company_table[Company_ID])</f>
        <v>C003</v>
      </c>
      <c r="E127" t="s">
        <v>31</v>
      </c>
      <c r="F127" t="str">
        <f>_xlfn.XLOOKUP(E127,Account_table[Account_Name],Account_table[Account_ID])</f>
        <v>A001</v>
      </c>
      <c r="G127" t="s">
        <v>57</v>
      </c>
      <c r="H127" t="str">
        <f>_xlfn.XLOOKUP(G127,Cust_Vend_table[Party_Name],Cust_Vend_table[Party_ID])</f>
        <v>P001</v>
      </c>
      <c r="I127" t="s">
        <v>84</v>
      </c>
      <c r="J127" t="str">
        <f>_xlfn.XLOOKUP(I127,Dept_table[Department_Name],Dept_table[Department_ID])</f>
        <v>D002</v>
      </c>
      <c r="K127" t="s">
        <v>104</v>
      </c>
      <c r="L127" t="str">
        <f>_xlfn.XLOOKUP(K127,Payment_table[Payment_Mode],Payment_table[Payment_Mode_ID])</f>
        <v>PM04</v>
      </c>
      <c r="M127" t="s">
        <v>491</v>
      </c>
      <c r="N127" t="s">
        <v>492</v>
      </c>
      <c r="O127" s="3">
        <v>22514</v>
      </c>
      <c r="P127" s="3">
        <v>4052.52</v>
      </c>
      <c r="Q127" s="3">
        <v>26566.52</v>
      </c>
      <c r="R127" t="s">
        <v>135</v>
      </c>
    </row>
    <row r="128" spans="1:18" x14ac:dyDescent="0.3">
      <c r="A128" t="s">
        <v>493</v>
      </c>
      <c r="B128" s="1">
        <v>45702</v>
      </c>
      <c r="C128" s="1" t="s">
        <v>14</v>
      </c>
      <c r="D128" t="str">
        <f>_xlfn.XLOOKUP(C128,Company_table[Company_Name],Company_table[Company_ID])</f>
        <v>C001</v>
      </c>
      <c r="E128" t="s">
        <v>44</v>
      </c>
      <c r="F128" t="str">
        <f>_xlfn.XLOOKUP(E128,Account_table[Account_Name],Account_table[Account_ID])</f>
        <v>A005</v>
      </c>
      <c r="G128" t="s">
        <v>72</v>
      </c>
      <c r="H128" t="str">
        <f>_xlfn.XLOOKUP(G128,Cust_Vend_table[Party_Name],Cust_Vend_table[Party_ID])</f>
        <v>P006</v>
      </c>
      <c r="I128" t="s">
        <v>84</v>
      </c>
      <c r="J128" t="str">
        <f>_xlfn.XLOOKUP(I128,Dept_table[Department_Name],Dept_table[Department_ID])</f>
        <v>D002</v>
      </c>
      <c r="K128" t="s">
        <v>102</v>
      </c>
      <c r="L128" t="str">
        <f>_xlfn.XLOOKUP(K128,Payment_table[Payment_Mode],Payment_table[Payment_Mode_ID])</f>
        <v>PM03</v>
      </c>
      <c r="M128" t="s">
        <v>494</v>
      </c>
      <c r="N128" t="s">
        <v>495</v>
      </c>
      <c r="O128" s="3">
        <v>43930</v>
      </c>
      <c r="P128" s="3">
        <v>7907.4</v>
      </c>
      <c r="Q128" s="3">
        <v>51837.4</v>
      </c>
      <c r="R128" t="s">
        <v>116</v>
      </c>
    </row>
    <row r="129" spans="1:18" x14ac:dyDescent="0.3">
      <c r="A129" t="s">
        <v>496</v>
      </c>
      <c r="B129" s="1">
        <v>45697</v>
      </c>
      <c r="C129" s="1" t="s">
        <v>14</v>
      </c>
      <c r="D129" t="str">
        <f>_xlfn.XLOOKUP(C129,Company_table[Company_Name],Company_table[Company_ID])</f>
        <v>C001</v>
      </c>
      <c r="E129" t="s">
        <v>40</v>
      </c>
      <c r="F129" t="str">
        <f>_xlfn.XLOOKUP(E129,Account_table[Account_Name],Account_table[Account_ID])</f>
        <v>A004</v>
      </c>
      <c r="G129" t="s">
        <v>69</v>
      </c>
      <c r="H129" t="str">
        <f>_xlfn.XLOOKUP(G129,Cust_Vend_table[Party_Name],Cust_Vend_table[Party_ID])</f>
        <v>P005</v>
      </c>
      <c r="I129" t="s">
        <v>84</v>
      </c>
      <c r="J129" t="str">
        <f>_xlfn.XLOOKUP(I129,Dept_table[Department_Name],Dept_table[Department_ID])</f>
        <v>D002</v>
      </c>
      <c r="K129" t="s">
        <v>102</v>
      </c>
      <c r="L129" t="str">
        <f>_xlfn.XLOOKUP(K129,Payment_table[Payment_Mode],Payment_table[Payment_Mode_ID])</f>
        <v>PM03</v>
      </c>
      <c r="M129" t="s">
        <v>497</v>
      </c>
      <c r="N129" t="s">
        <v>498</v>
      </c>
      <c r="O129" s="3">
        <v>32885</v>
      </c>
      <c r="P129" s="3">
        <v>5919.3</v>
      </c>
      <c r="Q129" s="3">
        <v>38804.300000000003</v>
      </c>
      <c r="R129" t="s">
        <v>116</v>
      </c>
    </row>
    <row r="130" spans="1:18" x14ac:dyDescent="0.3">
      <c r="A130" t="s">
        <v>499</v>
      </c>
      <c r="B130" s="1">
        <v>45965</v>
      </c>
      <c r="C130" s="1" t="s">
        <v>14</v>
      </c>
      <c r="D130" t="str">
        <f>_xlfn.XLOOKUP(C130,Company_table[Company_Name],Company_table[Company_ID])</f>
        <v>C001</v>
      </c>
      <c r="E130" t="s">
        <v>31</v>
      </c>
      <c r="F130" t="str">
        <f>_xlfn.XLOOKUP(E130,Account_table[Account_Name],Account_table[Account_ID])</f>
        <v>A001</v>
      </c>
      <c r="G130" t="s">
        <v>62</v>
      </c>
      <c r="H130" t="str">
        <f>_xlfn.XLOOKUP(G130,Cust_Vend_table[Party_Name],Cust_Vend_table[Party_ID])</f>
        <v>P003</v>
      </c>
      <c r="I130" t="s">
        <v>93</v>
      </c>
      <c r="J130" t="str">
        <f>_xlfn.XLOOKUP(I130,Dept_table[Department_Name],Dept_table[Department_ID])</f>
        <v>D005</v>
      </c>
      <c r="K130" t="s">
        <v>104</v>
      </c>
      <c r="L130" t="str">
        <f>_xlfn.XLOOKUP(K130,Payment_table[Payment_Mode],Payment_table[Payment_Mode_ID])</f>
        <v>PM04</v>
      </c>
      <c r="M130" t="s">
        <v>500</v>
      </c>
      <c r="N130" t="s">
        <v>501</v>
      </c>
      <c r="O130" s="3">
        <v>22596</v>
      </c>
      <c r="P130" s="3">
        <v>4067.28</v>
      </c>
      <c r="Q130" s="3">
        <v>26663.279999999999</v>
      </c>
      <c r="R130" t="s">
        <v>135</v>
      </c>
    </row>
    <row r="131" spans="1:18" x14ac:dyDescent="0.3">
      <c r="A131" t="s">
        <v>502</v>
      </c>
      <c r="B131" s="1">
        <v>45759</v>
      </c>
      <c r="C131" s="1" t="s">
        <v>23</v>
      </c>
      <c r="D131" t="str">
        <f>_xlfn.XLOOKUP(C131,Company_table[Company_Name],Company_table[Company_ID])</f>
        <v>C003</v>
      </c>
      <c r="E131" t="s">
        <v>40</v>
      </c>
      <c r="F131" t="str">
        <f>_xlfn.XLOOKUP(E131,Account_table[Account_Name],Account_table[Account_ID])</f>
        <v>A004</v>
      </c>
      <c r="G131" t="s">
        <v>72</v>
      </c>
      <c r="H131" t="str">
        <f>_xlfn.XLOOKUP(G131,Cust_Vend_table[Party_Name],Cust_Vend_table[Party_ID])</f>
        <v>P006</v>
      </c>
      <c r="I131" t="s">
        <v>87</v>
      </c>
      <c r="J131" t="str">
        <f>_xlfn.XLOOKUP(I131,Dept_table[Department_Name],Dept_table[Department_ID])</f>
        <v>D003</v>
      </c>
      <c r="K131" t="s">
        <v>104</v>
      </c>
      <c r="L131" t="str">
        <f>_xlfn.XLOOKUP(K131,Payment_table[Payment_Mode],Payment_table[Payment_Mode_ID])</f>
        <v>PM04</v>
      </c>
      <c r="M131" t="s">
        <v>503</v>
      </c>
      <c r="N131" t="s">
        <v>504</v>
      </c>
      <c r="O131" s="3">
        <v>38436</v>
      </c>
      <c r="P131" s="3">
        <v>6918.48</v>
      </c>
      <c r="Q131" s="3">
        <v>45354.48</v>
      </c>
      <c r="R131" t="s">
        <v>116</v>
      </c>
    </row>
    <row r="132" spans="1:18" x14ac:dyDescent="0.3">
      <c r="A132" t="s">
        <v>505</v>
      </c>
      <c r="B132" s="1">
        <v>45896</v>
      </c>
      <c r="C132" s="1" t="s">
        <v>14</v>
      </c>
      <c r="D132" t="str">
        <f>_xlfn.XLOOKUP(C132,Company_table[Company_Name],Company_table[Company_ID])</f>
        <v>C001</v>
      </c>
      <c r="E132" t="s">
        <v>49</v>
      </c>
      <c r="F132" t="str">
        <f>_xlfn.XLOOKUP(E132,Account_table[Account_Name],Account_table[Account_ID])</f>
        <v>A007</v>
      </c>
      <c r="G132" t="s">
        <v>74</v>
      </c>
      <c r="H132" t="str">
        <f>_xlfn.XLOOKUP(G132,Cust_Vend_table[Party_Name],Cust_Vend_table[Party_ID])</f>
        <v>P007</v>
      </c>
      <c r="I132" t="s">
        <v>84</v>
      </c>
      <c r="J132" t="str">
        <f>_xlfn.XLOOKUP(I132,Dept_table[Department_Name],Dept_table[Department_ID])</f>
        <v>D002</v>
      </c>
      <c r="K132" t="s">
        <v>102</v>
      </c>
      <c r="L132" t="str">
        <f>_xlfn.XLOOKUP(K132,Payment_table[Payment_Mode],Payment_table[Payment_Mode_ID])</f>
        <v>PM03</v>
      </c>
      <c r="M132" t="s">
        <v>506</v>
      </c>
      <c r="N132" t="s">
        <v>507</v>
      </c>
      <c r="O132" s="3">
        <v>21604</v>
      </c>
      <c r="P132" s="3">
        <v>3888.72</v>
      </c>
      <c r="Q132" s="3">
        <v>25492.720000000001</v>
      </c>
      <c r="R132" t="s">
        <v>116</v>
      </c>
    </row>
    <row r="133" spans="1:18" x14ac:dyDescent="0.3">
      <c r="A133" t="s">
        <v>508</v>
      </c>
      <c r="B133" s="1">
        <v>46005</v>
      </c>
      <c r="C133" s="1" t="s">
        <v>19</v>
      </c>
      <c r="D133" t="str">
        <f>_xlfn.XLOOKUP(C133,Company_table[Company_Name],Company_table[Company_ID])</f>
        <v>C002</v>
      </c>
      <c r="E133" t="s">
        <v>31</v>
      </c>
      <c r="F133" t="str">
        <f>_xlfn.XLOOKUP(E133,Account_table[Account_Name],Account_table[Account_ID])</f>
        <v>A001</v>
      </c>
      <c r="G133" t="s">
        <v>60</v>
      </c>
      <c r="H133" t="str">
        <f>_xlfn.XLOOKUP(G133,Cust_Vend_table[Party_Name],Cust_Vend_table[Party_ID])</f>
        <v>P002</v>
      </c>
      <c r="I133" t="s">
        <v>90</v>
      </c>
      <c r="J133" t="str">
        <f>_xlfn.XLOOKUP(I133,Dept_table[Department_Name],Dept_table[Department_ID])</f>
        <v>D004</v>
      </c>
      <c r="K133" t="s">
        <v>100</v>
      </c>
      <c r="L133" t="str">
        <f>_xlfn.XLOOKUP(K133,Payment_table[Payment_Mode],Payment_table[Payment_Mode_ID])</f>
        <v>PM02</v>
      </c>
      <c r="M133" t="s">
        <v>509</v>
      </c>
      <c r="N133" t="s">
        <v>510</v>
      </c>
      <c r="O133" s="3">
        <v>12097</v>
      </c>
      <c r="P133" s="3">
        <v>2177.46</v>
      </c>
      <c r="Q133" s="3">
        <v>14274.46</v>
      </c>
      <c r="R133" t="s">
        <v>135</v>
      </c>
    </row>
    <row r="134" spans="1:18" x14ac:dyDescent="0.3">
      <c r="A134" t="s">
        <v>511</v>
      </c>
      <c r="B134" s="1">
        <v>45940</v>
      </c>
      <c r="C134" s="1" t="s">
        <v>19</v>
      </c>
      <c r="D134" t="str">
        <f>_xlfn.XLOOKUP(C134,Company_table[Company_Name],Company_table[Company_ID])</f>
        <v>C002</v>
      </c>
      <c r="E134" t="s">
        <v>40</v>
      </c>
      <c r="F134" t="str">
        <f>_xlfn.XLOOKUP(E134,Account_table[Account_Name],Account_table[Account_ID])</f>
        <v>A004</v>
      </c>
      <c r="G134" t="s">
        <v>72</v>
      </c>
      <c r="H134" t="str">
        <f>_xlfn.XLOOKUP(G134,Cust_Vend_table[Party_Name],Cust_Vend_table[Party_ID])</f>
        <v>P006</v>
      </c>
      <c r="I134" t="s">
        <v>84</v>
      </c>
      <c r="J134" t="str">
        <f>_xlfn.XLOOKUP(I134,Dept_table[Department_Name],Dept_table[Department_ID])</f>
        <v>D002</v>
      </c>
      <c r="K134" t="s">
        <v>102</v>
      </c>
      <c r="L134" t="str">
        <f>_xlfn.XLOOKUP(K134,Payment_table[Payment_Mode],Payment_table[Payment_Mode_ID])</f>
        <v>PM03</v>
      </c>
      <c r="M134" t="s">
        <v>512</v>
      </c>
      <c r="N134" t="s">
        <v>513</v>
      </c>
      <c r="O134" s="3">
        <v>2148</v>
      </c>
      <c r="P134" s="3">
        <v>386.64</v>
      </c>
      <c r="Q134" s="3">
        <v>2534.64</v>
      </c>
      <c r="R134" t="s">
        <v>116</v>
      </c>
    </row>
    <row r="135" spans="1:18" x14ac:dyDescent="0.3">
      <c r="A135" t="s">
        <v>514</v>
      </c>
      <c r="B135" s="1">
        <v>45809</v>
      </c>
      <c r="C135" s="1" t="s">
        <v>14</v>
      </c>
      <c r="D135" t="str">
        <f>_xlfn.XLOOKUP(C135,Company_table[Company_Name],Company_table[Company_ID])</f>
        <v>C001</v>
      </c>
      <c r="E135" t="s">
        <v>35</v>
      </c>
      <c r="F135" t="str">
        <f>_xlfn.XLOOKUP(E135,Account_table[Account_Name],Account_table[Account_ID])</f>
        <v>A002</v>
      </c>
      <c r="G135" t="s">
        <v>57</v>
      </c>
      <c r="H135" t="str">
        <f>_xlfn.XLOOKUP(G135,Cust_Vend_table[Party_Name],Cust_Vend_table[Party_ID])</f>
        <v>P001</v>
      </c>
      <c r="I135" t="s">
        <v>81</v>
      </c>
      <c r="J135" t="str">
        <f>_xlfn.XLOOKUP(I135,Dept_table[Department_Name],Dept_table[Department_ID])</f>
        <v>D001</v>
      </c>
      <c r="K135" t="s">
        <v>102</v>
      </c>
      <c r="L135" t="str">
        <f>_xlfn.XLOOKUP(K135,Payment_table[Payment_Mode],Payment_table[Payment_Mode_ID])</f>
        <v>PM03</v>
      </c>
      <c r="M135" t="s">
        <v>515</v>
      </c>
      <c r="N135" t="s">
        <v>516</v>
      </c>
      <c r="O135" s="3">
        <v>37733</v>
      </c>
      <c r="P135" s="3">
        <v>6791.94</v>
      </c>
      <c r="Q135" s="3">
        <v>44524.94</v>
      </c>
      <c r="R135" t="s">
        <v>135</v>
      </c>
    </row>
    <row r="136" spans="1:18" x14ac:dyDescent="0.3">
      <c r="A136" t="s">
        <v>517</v>
      </c>
      <c r="B136" s="1">
        <v>45764</v>
      </c>
      <c r="C136" s="1" t="s">
        <v>14</v>
      </c>
      <c r="D136" t="str">
        <f>_xlfn.XLOOKUP(C136,Company_table[Company_Name],Company_table[Company_ID])</f>
        <v>C001</v>
      </c>
      <c r="E136" t="s">
        <v>37</v>
      </c>
      <c r="F136" t="str">
        <f>_xlfn.XLOOKUP(E136,Account_table[Account_Name],Account_table[Account_ID])</f>
        <v>A003</v>
      </c>
      <c r="G136" t="s">
        <v>60</v>
      </c>
      <c r="H136" t="str">
        <f>_xlfn.XLOOKUP(G136,Cust_Vend_table[Party_Name],Cust_Vend_table[Party_ID])</f>
        <v>P002</v>
      </c>
      <c r="I136" t="s">
        <v>87</v>
      </c>
      <c r="J136" t="str">
        <f>_xlfn.XLOOKUP(I136,Dept_table[Department_Name],Dept_table[Department_ID])</f>
        <v>D003</v>
      </c>
      <c r="K136" t="s">
        <v>102</v>
      </c>
      <c r="L136" t="str">
        <f>_xlfn.XLOOKUP(K136,Payment_table[Payment_Mode],Payment_table[Payment_Mode_ID])</f>
        <v>PM03</v>
      </c>
      <c r="M136" t="s">
        <v>518</v>
      </c>
      <c r="N136" t="s">
        <v>519</v>
      </c>
      <c r="O136" s="3">
        <v>4216</v>
      </c>
      <c r="P136" s="3">
        <v>758.88</v>
      </c>
      <c r="Q136" s="3">
        <v>4974.88</v>
      </c>
      <c r="R136" t="s">
        <v>135</v>
      </c>
    </row>
    <row r="137" spans="1:18" x14ac:dyDescent="0.3">
      <c r="A137" t="s">
        <v>520</v>
      </c>
      <c r="B137" s="1">
        <v>45689</v>
      </c>
      <c r="C137" s="1" t="s">
        <v>23</v>
      </c>
      <c r="D137" t="str">
        <f>_xlfn.XLOOKUP(C137,Company_table[Company_Name],Company_table[Company_ID])</f>
        <v>C003</v>
      </c>
      <c r="E137" t="s">
        <v>51</v>
      </c>
      <c r="F137" t="str">
        <f>_xlfn.XLOOKUP(E137,Account_table[Account_Name],Account_table[Account_ID])</f>
        <v>A008</v>
      </c>
      <c r="G137" t="s">
        <v>69</v>
      </c>
      <c r="H137" t="str">
        <f>_xlfn.XLOOKUP(G137,Cust_Vend_table[Party_Name],Cust_Vend_table[Party_ID])</f>
        <v>P005</v>
      </c>
      <c r="I137" t="s">
        <v>84</v>
      </c>
      <c r="J137" t="str">
        <f>_xlfn.XLOOKUP(I137,Dept_table[Department_Name],Dept_table[Department_ID])</f>
        <v>D002</v>
      </c>
      <c r="K137" t="s">
        <v>104</v>
      </c>
      <c r="L137" t="str">
        <f>_xlfn.XLOOKUP(K137,Payment_table[Payment_Mode],Payment_table[Payment_Mode_ID])</f>
        <v>PM04</v>
      </c>
      <c r="M137" t="s">
        <v>521</v>
      </c>
      <c r="N137" t="s">
        <v>522</v>
      </c>
      <c r="O137" s="3">
        <v>16041</v>
      </c>
      <c r="P137" s="3">
        <v>2887.38</v>
      </c>
      <c r="Q137" s="3">
        <v>18928.38</v>
      </c>
      <c r="R137" t="s">
        <v>116</v>
      </c>
    </row>
    <row r="138" spans="1:18" x14ac:dyDescent="0.3">
      <c r="A138" t="s">
        <v>523</v>
      </c>
      <c r="B138" s="1">
        <v>45659</v>
      </c>
      <c r="C138" s="1" t="s">
        <v>23</v>
      </c>
      <c r="D138" t="str">
        <f>_xlfn.XLOOKUP(C138,Company_table[Company_Name],Company_table[Company_ID])</f>
        <v>C003</v>
      </c>
      <c r="E138" t="s">
        <v>51</v>
      </c>
      <c r="F138" t="str">
        <f>_xlfn.XLOOKUP(E138,Account_table[Account_Name],Account_table[Account_ID])</f>
        <v>A008</v>
      </c>
      <c r="G138" t="s">
        <v>72</v>
      </c>
      <c r="H138" t="str">
        <f>_xlfn.XLOOKUP(G138,Cust_Vend_table[Party_Name],Cust_Vend_table[Party_ID])</f>
        <v>P006</v>
      </c>
      <c r="I138" t="s">
        <v>87</v>
      </c>
      <c r="J138" t="str">
        <f>_xlfn.XLOOKUP(I138,Dept_table[Department_Name],Dept_table[Department_ID])</f>
        <v>D003</v>
      </c>
      <c r="K138" t="s">
        <v>104</v>
      </c>
      <c r="L138" t="str">
        <f>_xlfn.XLOOKUP(K138,Payment_table[Payment_Mode],Payment_table[Payment_Mode_ID])</f>
        <v>PM04</v>
      </c>
      <c r="M138" t="s">
        <v>524</v>
      </c>
      <c r="N138" t="s">
        <v>525</v>
      </c>
      <c r="O138" s="3">
        <v>16127</v>
      </c>
      <c r="P138" s="3">
        <v>2902.86</v>
      </c>
      <c r="Q138" s="3">
        <v>19029.86</v>
      </c>
      <c r="R138" t="s">
        <v>116</v>
      </c>
    </row>
    <row r="139" spans="1:18" x14ac:dyDescent="0.3">
      <c r="A139" t="s">
        <v>526</v>
      </c>
      <c r="B139" s="1">
        <v>45894</v>
      </c>
      <c r="C139" s="1" t="s">
        <v>19</v>
      </c>
      <c r="D139" t="str">
        <f>_xlfn.XLOOKUP(C139,Company_table[Company_Name],Company_table[Company_ID])</f>
        <v>C002</v>
      </c>
      <c r="E139" t="s">
        <v>40</v>
      </c>
      <c r="F139" t="str">
        <f>_xlfn.XLOOKUP(E139,Account_table[Account_Name],Account_table[Account_ID])</f>
        <v>A004</v>
      </c>
      <c r="G139" t="s">
        <v>74</v>
      </c>
      <c r="H139" t="str">
        <f>_xlfn.XLOOKUP(G139,Cust_Vend_table[Party_Name],Cust_Vend_table[Party_ID])</f>
        <v>P007</v>
      </c>
      <c r="I139" t="s">
        <v>81</v>
      </c>
      <c r="J139" t="str">
        <f>_xlfn.XLOOKUP(I139,Dept_table[Department_Name],Dept_table[Department_ID])</f>
        <v>D001</v>
      </c>
      <c r="K139" t="s">
        <v>104</v>
      </c>
      <c r="L139" t="str">
        <f>_xlfn.XLOOKUP(K139,Payment_table[Payment_Mode],Payment_table[Payment_Mode_ID])</f>
        <v>PM04</v>
      </c>
      <c r="M139" t="s">
        <v>527</v>
      </c>
      <c r="N139" t="s">
        <v>528</v>
      </c>
      <c r="O139" s="3">
        <v>21264</v>
      </c>
      <c r="P139" s="3">
        <v>3827.52</v>
      </c>
      <c r="Q139" s="3">
        <v>25091.52</v>
      </c>
      <c r="R139" t="s">
        <v>116</v>
      </c>
    </row>
    <row r="140" spans="1:18" x14ac:dyDescent="0.3">
      <c r="A140" t="s">
        <v>529</v>
      </c>
      <c r="B140" s="1">
        <v>45664</v>
      </c>
      <c r="C140" s="1" t="s">
        <v>19</v>
      </c>
      <c r="D140" t="str">
        <f>_xlfn.XLOOKUP(C140,Company_table[Company_Name],Company_table[Company_ID])</f>
        <v>C002</v>
      </c>
      <c r="E140" t="s">
        <v>51</v>
      </c>
      <c r="F140" t="str">
        <f>_xlfn.XLOOKUP(E140,Account_table[Account_Name],Account_table[Account_ID])</f>
        <v>A008</v>
      </c>
      <c r="G140" t="s">
        <v>69</v>
      </c>
      <c r="H140" t="str">
        <f>_xlfn.XLOOKUP(G140,Cust_Vend_table[Party_Name],Cust_Vend_table[Party_ID])</f>
        <v>P005</v>
      </c>
      <c r="I140" t="s">
        <v>84</v>
      </c>
      <c r="J140" t="str">
        <f>_xlfn.XLOOKUP(I140,Dept_table[Department_Name],Dept_table[Department_ID])</f>
        <v>D002</v>
      </c>
      <c r="K140" t="s">
        <v>104</v>
      </c>
      <c r="L140" t="str">
        <f>_xlfn.XLOOKUP(K140,Payment_table[Payment_Mode],Payment_table[Payment_Mode_ID])</f>
        <v>PM04</v>
      </c>
      <c r="M140" t="s">
        <v>530</v>
      </c>
      <c r="N140" t="s">
        <v>531</v>
      </c>
      <c r="O140" s="3">
        <v>20012</v>
      </c>
      <c r="P140" s="3">
        <v>3602.16</v>
      </c>
      <c r="Q140" s="3">
        <v>23614.16</v>
      </c>
      <c r="R140" t="s">
        <v>116</v>
      </c>
    </row>
    <row r="141" spans="1:18" x14ac:dyDescent="0.3">
      <c r="A141" t="s">
        <v>532</v>
      </c>
      <c r="B141" s="1">
        <v>45914</v>
      </c>
      <c r="C141" s="1" t="s">
        <v>23</v>
      </c>
      <c r="D141" t="str">
        <f>_xlfn.XLOOKUP(C141,Company_table[Company_Name],Company_table[Company_ID])</f>
        <v>C003</v>
      </c>
      <c r="E141" t="s">
        <v>35</v>
      </c>
      <c r="F141" t="str">
        <f>_xlfn.XLOOKUP(E141,Account_table[Account_Name],Account_table[Account_ID])</f>
        <v>A002</v>
      </c>
      <c r="G141" t="s">
        <v>62</v>
      </c>
      <c r="H141" t="str">
        <f>_xlfn.XLOOKUP(G141,Cust_Vend_table[Party_Name],Cust_Vend_table[Party_ID])</f>
        <v>P003</v>
      </c>
      <c r="I141" t="s">
        <v>93</v>
      </c>
      <c r="J141" t="str">
        <f>_xlfn.XLOOKUP(I141,Dept_table[Department_Name],Dept_table[Department_ID])</f>
        <v>D005</v>
      </c>
      <c r="K141" t="s">
        <v>98</v>
      </c>
      <c r="L141" t="str">
        <f>_xlfn.XLOOKUP(K141,Payment_table[Payment_Mode],Payment_table[Payment_Mode_ID])</f>
        <v>PM01</v>
      </c>
      <c r="M141" t="s">
        <v>533</v>
      </c>
      <c r="N141" t="s">
        <v>534</v>
      </c>
      <c r="O141" s="3">
        <v>41434</v>
      </c>
      <c r="P141" s="3">
        <v>7458.12</v>
      </c>
      <c r="Q141" s="3">
        <v>48892.12</v>
      </c>
      <c r="R141" t="s">
        <v>135</v>
      </c>
    </row>
    <row r="142" spans="1:18" x14ac:dyDescent="0.3">
      <c r="A142" t="s">
        <v>535</v>
      </c>
      <c r="B142" s="1">
        <v>45669</v>
      </c>
      <c r="C142" s="1" t="s">
        <v>14</v>
      </c>
      <c r="D142" t="str">
        <f>_xlfn.XLOOKUP(C142,Company_table[Company_Name],Company_table[Company_ID])</f>
        <v>C001</v>
      </c>
      <c r="E142" t="s">
        <v>31</v>
      </c>
      <c r="F142" t="str">
        <f>_xlfn.XLOOKUP(E142,Account_table[Account_Name],Account_table[Account_ID])</f>
        <v>A001</v>
      </c>
      <c r="G142" t="s">
        <v>60</v>
      </c>
      <c r="H142" t="str">
        <f>_xlfn.XLOOKUP(G142,Cust_Vend_table[Party_Name],Cust_Vend_table[Party_ID])</f>
        <v>P002</v>
      </c>
      <c r="I142" t="s">
        <v>93</v>
      </c>
      <c r="J142" t="str">
        <f>_xlfn.XLOOKUP(I142,Dept_table[Department_Name],Dept_table[Department_ID])</f>
        <v>D005</v>
      </c>
      <c r="K142" t="s">
        <v>104</v>
      </c>
      <c r="L142" t="str">
        <f>_xlfn.XLOOKUP(K142,Payment_table[Payment_Mode],Payment_table[Payment_Mode_ID])</f>
        <v>PM04</v>
      </c>
      <c r="M142" t="s">
        <v>536</v>
      </c>
      <c r="N142" t="s">
        <v>537</v>
      </c>
      <c r="O142" s="3">
        <v>13391</v>
      </c>
      <c r="P142" s="3">
        <v>2410.38</v>
      </c>
      <c r="Q142" s="3">
        <v>15801.38</v>
      </c>
      <c r="R142" t="s">
        <v>135</v>
      </c>
    </row>
    <row r="143" spans="1:18" x14ac:dyDescent="0.3">
      <c r="A143" t="s">
        <v>538</v>
      </c>
      <c r="B143" s="1">
        <v>46037</v>
      </c>
      <c r="C143" s="1" t="s">
        <v>14</v>
      </c>
      <c r="D143" t="str">
        <f>_xlfn.XLOOKUP(C143,Company_table[Company_Name],Company_table[Company_ID])</f>
        <v>C001</v>
      </c>
      <c r="E143" t="s">
        <v>35</v>
      </c>
      <c r="F143" t="str">
        <f>_xlfn.XLOOKUP(E143,Account_table[Account_Name],Account_table[Account_ID])</f>
        <v>A002</v>
      </c>
      <c r="G143" t="s">
        <v>62</v>
      </c>
      <c r="H143" t="str">
        <f>_xlfn.XLOOKUP(G143,Cust_Vend_table[Party_Name],Cust_Vend_table[Party_ID])</f>
        <v>P003</v>
      </c>
      <c r="I143" t="s">
        <v>93</v>
      </c>
      <c r="J143" t="str">
        <f>_xlfn.XLOOKUP(I143,Dept_table[Department_Name],Dept_table[Department_ID])</f>
        <v>D005</v>
      </c>
      <c r="K143" t="s">
        <v>104</v>
      </c>
      <c r="L143" t="str">
        <f>_xlfn.XLOOKUP(K143,Payment_table[Payment_Mode],Payment_table[Payment_Mode_ID])</f>
        <v>PM04</v>
      </c>
      <c r="M143" t="s">
        <v>539</v>
      </c>
      <c r="N143" t="s">
        <v>540</v>
      </c>
      <c r="O143" s="3">
        <v>21063</v>
      </c>
      <c r="P143" s="3">
        <v>3791.34</v>
      </c>
      <c r="Q143" s="3">
        <v>24854.34</v>
      </c>
      <c r="R143" t="s">
        <v>135</v>
      </c>
    </row>
    <row r="144" spans="1:18" x14ac:dyDescent="0.3">
      <c r="A144" t="s">
        <v>541</v>
      </c>
      <c r="B144" s="1">
        <v>45949</v>
      </c>
      <c r="C144" s="1" t="s">
        <v>19</v>
      </c>
      <c r="D144" t="str">
        <f>_xlfn.XLOOKUP(C144,Company_table[Company_Name],Company_table[Company_ID])</f>
        <v>C002</v>
      </c>
      <c r="E144" t="s">
        <v>37</v>
      </c>
      <c r="F144" t="str">
        <f>_xlfn.XLOOKUP(E144,Account_table[Account_Name],Account_table[Account_ID])</f>
        <v>A003</v>
      </c>
      <c r="G144" t="s">
        <v>62</v>
      </c>
      <c r="H144" t="str">
        <f>_xlfn.XLOOKUP(G144,Cust_Vend_table[Party_Name],Cust_Vend_table[Party_ID])</f>
        <v>P003</v>
      </c>
      <c r="I144" t="s">
        <v>81</v>
      </c>
      <c r="J144" t="str">
        <f>_xlfn.XLOOKUP(I144,Dept_table[Department_Name],Dept_table[Department_ID])</f>
        <v>D001</v>
      </c>
      <c r="K144" t="s">
        <v>100</v>
      </c>
      <c r="L144" t="str">
        <f>_xlfn.XLOOKUP(K144,Payment_table[Payment_Mode],Payment_table[Payment_Mode_ID])</f>
        <v>PM02</v>
      </c>
      <c r="M144" t="s">
        <v>542</v>
      </c>
      <c r="N144" t="s">
        <v>543</v>
      </c>
      <c r="O144" s="3">
        <v>12229</v>
      </c>
      <c r="P144" s="3">
        <v>2201.2199999999998</v>
      </c>
      <c r="Q144" s="3">
        <v>14430.22</v>
      </c>
      <c r="R144" t="s">
        <v>135</v>
      </c>
    </row>
    <row r="145" spans="1:18" x14ac:dyDescent="0.3">
      <c r="A145" t="s">
        <v>544</v>
      </c>
      <c r="B145" s="1">
        <v>45876</v>
      </c>
      <c r="C145" s="1" t="s">
        <v>23</v>
      </c>
      <c r="D145" t="str">
        <f>_xlfn.XLOOKUP(C145,Company_table[Company_Name],Company_table[Company_ID])</f>
        <v>C003</v>
      </c>
      <c r="E145" t="s">
        <v>35</v>
      </c>
      <c r="F145" t="str">
        <f>_xlfn.XLOOKUP(E145,Account_table[Account_Name],Account_table[Account_ID])</f>
        <v>A002</v>
      </c>
      <c r="G145" t="s">
        <v>60</v>
      </c>
      <c r="H145" t="str">
        <f>_xlfn.XLOOKUP(G145,Cust_Vend_table[Party_Name],Cust_Vend_table[Party_ID])</f>
        <v>P002</v>
      </c>
      <c r="I145" t="s">
        <v>93</v>
      </c>
      <c r="J145" t="str">
        <f>_xlfn.XLOOKUP(I145,Dept_table[Department_Name],Dept_table[Department_ID])</f>
        <v>D005</v>
      </c>
      <c r="K145" t="s">
        <v>98</v>
      </c>
      <c r="L145" t="str">
        <f>_xlfn.XLOOKUP(K145,Payment_table[Payment_Mode],Payment_table[Payment_Mode_ID])</f>
        <v>PM01</v>
      </c>
      <c r="M145" t="s">
        <v>545</v>
      </c>
      <c r="N145" t="s">
        <v>546</v>
      </c>
      <c r="O145" s="3">
        <v>6494</v>
      </c>
      <c r="P145" s="3">
        <v>1168.92</v>
      </c>
      <c r="Q145" s="3">
        <v>7662.92</v>
      </c>
      <c r="R145" t="s">
        <v>135</v>
      </c>
    </row>
    <row r="146" spans="1:18" x14ac:dyDescent="0.3">
      <c r="A146" t="s">
        <v>547</v>
      </c>
      <c r="B146" s="1">
        <v>45913</v>
      </c>
      <c r="C146" s="1" t="s">
        <v>14</v>
      </c>
      <c r="D146" t="str">
        <f>_xlfn.XLOOKUP(C146,Company_table[Company_Name],Company_table[Company_ID])</f>
        <v>C001</v>
      </c>
      <c r="E146" t="s">
        <v>35</v>
      </c>
      <c r="F146" t="str">
        <f>_xlfn.XLOOKUP(E146,Account_table[Account_Name],Account_table[Account_ID])</f>
        <v>A002</v>
      </c>
      <c r="G146" t="s">
        <v>57</v>
      </c>
      <c r="H146" t="str">
        <f>_xlfn.XLOOKUP(G146,Cust_Vend_table[Party_Name],Cust_Vend_table[Party_ID])</f>
        <v>P001</v>
      </c>
      <c r="I146" t="s">
        <v>84</v>
      </c>
      <c r="J146" t="str">
        <f>_xlfn.XLOOKUP(I146,Dept_table[Department_Name],Dept_table[Department_ID])</f>
        <v>D002</v>
      </c>
      <c r="K146" t="s">
        <v>98</v>
      </c>
      <c r="L146" t="str">
        <f>_xlfn.XLOOKUP(K146,Payment_table[Payment_Mode],Payment_table[Payment_Mode_ID])</f>
        <v>PM01</v>
      </c>
      <c r="M146" t="s">
        <v>548</v>
      </c>
      <c r="N146" t="s">
        <v>549</v>
      </c>
      <c r="O146" s="3">
        <v>33879</v>
      </c>
      <c r="P146" s="3">
        <v>6098.22</v>
      </c>
      <c r="Q146" s="3">
        <v>39977.22</v>
      </c>
      <c r="R146" t="s">
        <v>135</v>
      </c>
    </row>
    <row r="147" spans="1:18" x14ac:dyDescent="0.3">
      <c r="A147" t="s">
        <v>550</v>
      </c>
      <c r="B147" s="1">
        <v>46067</v>
      </c>
      <c r="C147" s="1" t="s">
        <v>19</v>
      </c>
      <c r="D147" t="str">
        <f>_xlfn.XLOOKUP(C147,Company_table[Company_Name],Company_table[Company_ID])</f>
        <v>C002</v>
      </c>
      <c r="E147" t="s">
        <v>51</v>
      </c>
      <c r="F147" t="str">
        <f>_xlfn.XLOOKUP(E147,Account_table[Account_Name],Account_table[Account_ID])</f>
        <v>A008</v>
      </c>
      <c r="G147" t="s">
        <v>69</v>
      </c>
      <c r="H147" t="str">
        <f>_xlfn.XLOOKUP(G147,Cust_Vend_table[Party_Name],Cust_Vend_table[Party_ID])</f>
        <v>P005</v>
      </c>
      <c r="I147" t="s">
        <v>93</v>
      </c>
      <c r="J147" t="str">
        <f>_xlfn.XLOOKUP(I147,Dept_table[Department_Name],Dept_table[Department_ID])</f>
        <v>D005</v>
      </c>
      <c r="K147" t="s">
        <v>104</v>
      </c>
      <c r="L147" t="str">
        <f>_xlfn.XLOOKUP(K147,Payment_table[Payment_Mode],Payment_table[Payment_Mode_ID])</f>
        <v>PM04</v>
      </c>
      <c r="M147" t="s">
        <v>551</v>
      </c>
      <c r="N147" t="s">
        <v>552</v>
      </c>
      <c r="O147" s="3">
        <v>35165</v>
      </c>
      <c r="P147" s="3">
        <v>6329.7</v>
      </c>
      <c r="Q147" s="3">
        <v>41494.699999999997</v>
      </c>
      <c r="R147" t="s">
        <v>116</v>
      </c>
    </row>
    <row r="148" spans="1:18" x14ac:dyDescent="0.3">
      <c r="A148" t="s">
        <v>553</v>
      </c>
      <c r="B148" s="1">
        <v>45986</v>
      </c>
      <c r="C148" s="1" t="s">
        <v>19</v>
      </c>
      <c r="D148" t="str">
        <f>_xlfn.XLOOKUP(C148,Company_table[Company_Name],Company_table[Company_ID])</f>
        <v>C002</v>
      </c>
      <c r="E148" t="s">
        <v>31</v>
      </c>
      <c r="F148" t="str">
        <f>_xlfn.XLOOKUP(E148,Account_table[Account_Name],Account_table[Account_ID])</f>
        <v>A001</v>
      </c>
      <c r="G148" t="s">
        <v>57</v>
      </c>
      <c r="H148" t="str">
        <f>_xlfn.XLOOKUP(G148,Cust_Vend_table[Party_Name],Cust_Vend_table[Party_ID])</f>
        <v>P001</v>
      </c>
      <c r="I148" t="s">
        <v>90</v>
      </c>
      <c r="J148" t="str">
        <f>_xlfn.XLOOKUP(I148,Dept_table[Department_Name],Dept_table[Department_ID])</f>
        <v>D004</v>
      </c>
      <c r="K148" t="s">
        <v>102</v>
      </c>
      <c r="L148" t="str">
        <f>_xlfn.XLOOKUP(K148,Payment_table[Payment_Mode],Payment_table[Payment_Mode_ID])</f>
        <v>PM03</v>
      </c>
      <c r="M148" t="s">
        <v>554</v>
      </c>
      <c r="N148" t="s">
        <v>555</v>
      </c>
      <c r="O148" s="3">
        <v>9401</v>
      </c>
      <c r="P148" s="3">
        <v>1692.18</v>
      </c>
      <c r="Q148" s="3">
        <v>11093.18</v>
      </c>
      <c r="R148" t="s">
        <v>135</v>
      </c>
    </row>
    <row r="149" spans="1:18" x14ac:dyDescent="0.3">
      <c r="A149" t="s">
        <v>556</v>
      </c>
      <c r="B149" s="1">
        <v>45700</v>
      </c>
      <c r="C149" s="1" t="s">
        <v>19</v>
      </c>
      <c r="D149" t="str">
        <f>_xlfn.XLOOKUP(C149,Company_table[Company_Name],Company_table[Company_ID])</f>
        <v>C002</v>
      </c>
      <c r="E149" t="s">
        <v>51</v>
      </c>
      <c r="F149" t="str">
        <f>_xlfn.XLOOKUP(E149,Account_table[Account_Name],Account_table[Account_ID])</f>
        <v>A008</v>
      </c>
      <c r="G149" t="s">
        <v>69</v>
      </c>
      <c r="H149" t="str">
        <f>_xlfn.XLOOKUP(G149,Cust_Vend_table[Party_Name],Cust_Vend_table[Party_ID])</f>
        <v>P005</v>
      </c>
      <c r="I149" t="s">
        <v>81</v>
      </c>
      <c r="J149" t="str">
        <f>_xlfn.XLOOKUP(I149,Dept_table[Department_Name],Dept_table[Department_ID])</f>
        <v>D001</v>
      </c>
      <c r="K149" t="s">
        <v>102</v>
      </c>
      <c r="L149" t="str">
        <f>_xlfn.XLOOKUP(K149,Payment_table[Payment_Mode],Payment_table[Payment_Mode_ID])</f>
        <v>PM03</v>
      </c>
      <c r="M149" t="s">
        <v>557</v>
      </c>
      <c r="N149" t="s">
        <v>558</v>
      </c>
      <c r="O149" s="3">
        <v>15222</v>
      </c>
      <c r="P149" s="3">
        <v>2739.96</v>
      </c>
      <c r="Q149" s="3">
        <v>17961.96</v>
      </c>
      <c r="R149" t="s">
        <v>116</v>
      </c>
    </row>
    <row r="150" spans="1:18" x14ac:dyDescent="0.3">
      <c r="A150" t="s">
        <v>559</v>
      </c>
      <c r="B150" s="1">
        <v>45784</v>
      </c>
      <c r="C150" s="1" t="s">
        <v>14</v>
      </c>
      <c r="D150" t="str">
        <f>_xlfn.XLOOKUP(C150,Company_table[Company_Name],Company_table[Company_ID])</f>
        <v>C001</v>
      </c>
      <c r="E150" t="s">
        <v>37</v>
      </c>
      <c r="F150" t="str">
        <f>_xlfn.XLOOKUP(E150,Account_table[Account_Name],Account_table[Account_ID])</f>
        <v>A003</v>
      </c>
      <c r="G150" t="s">
        <v>57</v>
      </c>
      <c r="H150" t="str">
        <f>_xlfn.XLOOKUP(G150,Cust_Vend_table[Party_Name],Cust_Vend_table[Party_ID])</f>
        <v>P001</v>
      </c>
      <c r="I150" t="s">
        <v>87</v>
      </c>
      <c r="J150" t="str">
        <f>_xlfn.XLOOKUP(I150,Dept_table[Department_Name],Dept_table[Department_ID])</f>
        <v>D003</v>
      </c>
      <c r="K150" t="s">
        <v>102</v>
      </c>
      <c r="L150" t="str">
        <f>_xlfn.XLOOKUP(K150,Payment_table[Payment_Mode],Payment_table[Payment_Mode_ID])</f>
        <v>PM03</v>
      </c>
      <c r="M150" t="s">
        <v>560</v>
      </c>
      <c r="N150" t="s">
        <v>561</v>
      </c>
      <c r="O150" s="3">
        <v>25089</v>
      </c>
      <c r="P150" s="3">
        <v>4516.0200000000004</v>
      </c>
      <c r="Q150" s="3">
        <v>29605.02</v>
      </c>
      <c r="R150" t="s">
        <v>135</v>
      </c>
    </row>
    <row r="151" spans="1:18" x14ac:dyDescent="0.3">
      <c r="A151" t="s">
        <v>562</v>
      </c>
      <c r="B151" s="1">
        <v>45708</v>
      </c>
      <c r="C151" s="1" t="s">
        <v>19</v>
      </c>
      <c r="D151" t="str">
        <f>_xlfn.XLOOKUP(C151,Company_table[Company_Name],Company_table[Company_ID])</f>
        <v>C002</v>
      </c>
      <c r="E151" t="s">
        <v>51</v>
      </c>
      <c r="F151" t="str">
        <f>_xlfn.XLOOKUP(E151,Account_table[Account_Name],Account_table[Account_ID])</f>
        <v>A008</v>
      </c>
      <c r="G151" t="s">
        <v>76</v>
      </c>
      <c r="H151" t="str">
        <f>_xlfn.XLOOKUP(G151,Cust_Vend_table[Party_Name],Cust_Vend_table[Party_ID])</f>
        <v>P008</v>
      </c>
      <c r="I151" t="s">
        <v>81</v>
      </c>
      <c r="J151" t="str">
        <f>_xlfn.XLOOKUP(I151,Dept_table[Department_Name],Dept_table[Department_ID])</f>
        <v>D001</v>
      </c>
      <c r="K151" t="s">
        <v>104</v>
      </c>
      <c r="L151" t="str">
        <f>_xlfn.XLOOKUP(K151,Payment_table[Payment_Mode],Payment_table[Payment_Mode_ID])</f>
        <v>PM04</v>
      </c>
      <c r="M151" t="s">
        <v>563</v>
      </c>
      <c r="N151" t="s">
        <v>564</v>
      </c>
      <c r="O151" s="3">
        <v>25684</v>
      </c>
      <c r="P151" s="3">
        <v>4623.12</v>
      </c>
      <c r="Q151" s="3">
        <v>30307.119999999999</v>
      </c>
      <c r="R151" t="s">
        <v>116</v>
      </c>
    </row>
    <row r="152" spans="1:18" x14ac:dyDescent="0.3">
      <c r="A152" t="s">
        <v>565</v>
      </c>
      <c r="B152" s="1">
        <v>45719</v>
      </c>
      <c r="C152" s="1" t="s">
        <v>23</v>
      </c>
      <c r="D152" t="str">
        <f>_xlfn.XLOOKUP(C152,Company_table[Company_Name],Company_table[Company_ID])</f>
        <v>C003</v>
      </c>
      <c r="E152" t="s">
        <v>35</v>
      </c>
      <c r="F152" t="str">
        <f>_xlfn.XLOOKUP(E152,Account_table[Account_Name],Account_table[Account_ID])</f>
        <v>A002</v>
      </c>
      <c r="G152" t="s">
        <v>65</v>
      </c>
      <c r="H152" t="str">
        <f>_xlfn.XLOOKUP(G152,Cust_Vend_table[Party_Name],Cust_Vend_table[Party_ID])</f>
        <v>P004</v>
      </c>
      <c r="I152" t="s">
        <v>90</v>
      </c>
      <c r="J152" t="str">
        <f>_xlfn.XLOOKUP(I152,Dept_table[Department_Name],Dept_table[Department_ID])</f>
        <v>D004</v>
      </c>
      <c r="K152" t="s">
        <v>102</v>
      </c>
      <c r="L152" t="str">
        <f>_xlfn.XLOOKUP(K152,Payment_table[Payment_Mode],Payment_table[Payment_Mode_ID])</f>
        <v>PM03</v>
      </c>
      <c r="M152" t="s">
        <v>566</v>
      </c>
      <c r="N152" t="s">
        <v>567</v>
      </c>
      <c r="O152" s="3">
        <v>37456</v>
      </c>
      <c r="P152" s="3">
        <v>6742.08</v>
      </c>
      <c r="Q152" s="3">
        <v>44198.080000000002</v>
      </c>
      <c r="R152" t="s">
        <v>135</v>
      </c>
    </row>
    <row r="153" spans="1:18" x14ac:dyDescent="0.3">
      <c r="A153" t="s">
        <v>568</v>
      </c>
      <c r="B153" s="1">
        <v>45866</v>
      </c>
      <c r="C153" s="1" t="s">
        <v>19</v>
      </c>
      <c r="D153" t="str">
        <f>_xlfn.XLOOKUP(C153,Company_table[Company_Name],Company_table[Company_ID])</f>
        <v>C002</v>
      </c>
      <c r="E153" t="s">
        <v>35</v>
      </c>
      <c r="F153" t="str">
        <f>_xlfn.XLOOKUP(E153,Account_table[Account_Name],Account_table[Account_ID])</f>
        <v>A002</v>
      </c>
      <c r="G153" t="s">
        <v>62</v>
      </c>
      <c r="H153" t="str">
        <f>_xlfn.XLOOKUP(G153,Cust_Vend_table[Party_Name],Cust_Vend_table[Party_ID])</f>
        <v>P003</v>
      </c>
      <c r="I153" t="s">
        <v>93</v>
      </c>
      <c r="J153" t="str">
        <f>_xlfn.XLOOKUP(I153,Dept_table[Department_Name],Dept_table[Department_ID])</f>
        <v>D005</v>
      </c>
      <c r="K153" t="s">
        <v>100</v>
      </c>
      <c r="L153" t="str">
        <f>_xlfn.XLOOKUP(K153,Payment_table[Payment_Mode],Payment_table[Payment_Mode_ID])</f>
        <v>PM02</v>
      </c>
      <c r="M153" t="s">
        <v>569</v>
      </c>
      <c r="N153" t="s">
        <v>570</v>
      </c>
      <c r="O153" s="3">
        <v>26141</v>
      </c>
      <c r="P153" s="3">
        <v>4705.38</v>
      </c>
      <c r="Q153" s="3">
        <v>30846.38</v>
      </c>
      <c r="R153" t="s">
        <v>135</v>
      </c>
    </row>
    <row r="154" spans="1:18" x14ac:dyDescent="0.3">
      <c r="A154" t="s">
        <v>571</v>
      </c>
      <c r="B154" s="1">
        <v>45841</v>
      </c>
      <c r="C154" s="1" t="s">
        <v>14</v>
      </c>
      <c r="D154" t="str">
        <f>_xlfn.XLOOKUP(C154,Company_table[Company_Name],Company_table[Company_ID])</f>
        <v>C001</v>
      </c>
      <c r="E154" t="s">
        <v>31</v>
      </c>
      <c r="F154" t="str">
        <f>_xlfn.XLOOKUP(E154,Account_table[Account_Name],Account_table[Account_ID])</f>
        <v>A001</v>
      </c>
      <c r="G154" t="s">
        <v>65</v>
      </c>
      <c r="H154" t="str">
        <f>_xlfn.XLOOKUP(G154,Cust_Vend_table[Party_Name],Cust_Vend_table[Party_ID])</f>
        <v>P004</v>
      </c>
      <c r="I154" t="s">
        <v>93</v>
      </c>
      <c r="J154" t="str">
        <f>_xlfn.XLOOKUP(I154,Dept_table[Department_Name],Dept_table[Department_ID])</f>
        <v>D005</v>
      </c>
      <c r="K154" t="s">
        <v>102</v>
      </c>
      <c r="L154" t="str">
        <f>_xlfn.XLOOKUP(K154,Payment_table[Payment_Mode],Payment_table[Payment_Mode_ID])</f>
        <v>PM03</v>
      </c>
      <c r="M154" t="s">
        <v>572</v>
      </c>
      <c r="N154" t="s">
        <v>573</v>
      </c>
      <c r="O154" s="3">
        <v>40886</v>
      </c>
      <c r="P154" s="3">
        <v>7359.48</v>
      </c>
      <c r="Q154" s="3">
        <v>48245.48</v>
      </c>
      <c r="R154" t="s">
        <v>135</v>
      </c>
    </row>
    <row r="155" spans="1:18" x14ac:dyDescent="0.3">
      <c r="A155" t="s">
        <v>574</v>
      </c>
      <c r="B155" s="1">
        <v>45861</v>
      </c>
      <c r="C155" s="1" t="s">
        <v>14</v>
      </c>
      <c r="D155" t="str">
        <f>_xlfn.XLOOKUP(C155,Company_table[Company_Name],Company_table[Company_ID])</f>
        <v>C001</v>
      </c>
      <c r="E155" t="s">
        <v>35</v>
      </c>
      <c r="F155" t="str">
        <f>_xlfn.XLOOKUP(E155,Account_table[Account_Name],Account_table[Account_ID])</f>
        <v>A002</v>
      </c>
      <c r="G155" t="s">
        <v>65</v>
      </c>
      <c r="H155" t="str">
        <f>_xlfn.XLOOKUP(G155,Cust_Vend_table[Party_Name],Cust_Vend_table[Party_ID])</f>
        <v>P004</v>
      </c>
      <c r="I155" t="s">
        <v>84</v>
      </c>
      <c r="J155" t="str">
        <f>_xlfn.XLOOKUP(I155,Dept_table[Department_Name],Dept_table[Department_ID])</f>
        <v>D002</v>
      </c>
      <c r="K155" t="s">
        <v>102</v>
      </c>
      <c r="L155" t="str">
        <f>_xlfn.XLOOKUP(K155,Payment_table[Payment_Mode],Payment_table[Payment_Mode_ID])</f>
        <v>PM03</v>
      </c>
      <c r="M155" t="s">
        <v>575</v>
      </c>
      <c r="N155" t="s">
        <v>576</v>
      </c>
      <c r="O155" s="3">
        <v>18234</v>
      </c>
      <c r="P155" s="3">
        <v>3282.12</v>
      </c>
      <c r="Q155" s="3">
        <v>21516.12</v>
      </c>
      <c r="R155" t="s">
        <v>135</v>
      </c>
    </row>
    <row r="156" spans="1:18" x14ac:dyDescent="0.3">
      <c r="A156" t="s">
        <v>577</v>
      </c>
      <c r="B156" s="1">
        <v>45784</v>
      </c>
      <c r="C156" s="1" t="s">
        <v>19</v>
      </c>
      <c r="D156" t="str">
        <f>_xlfn.XLOOKUP(C156,Company_table[Company_Name],Company_table[Company_ID])</f>
        <v>C002</v>
      </c>
      <c r="E156" t="s">
        <v>47</v>
      </c>
      <c r="F156" t="str">
        <f>_xlfn.XLOOKUP(E156,Account_table[Account_Name],Account_table[Account_ID])</f>
        <v>A006</v>
      </c>
      <c r="G156" t="s">
        <v>69</v>
      </c>
      <c r="H156" t="str">
        <f>_xlfn.XLOOKUP(G156,Cust_Vend_table[Party_Name],Cust_Vend_table[Party_ID])</f>
        <v>P005</v>
      </c>
      <c r="I156" t="s">
        <v>93</v>
      </c>
      <c r="J156" t="str">
        <f>_xlfn.XLOOKUP(I156,Dept_table[Department_Name],Dept_table[Department_ID])</f>
        <v>D005</v>
      </c>
      <c r="K156" t="s">
        <v>100</v>
      </c>
      <c r="L156" t="str">
        <f>_xlfn.XLOOKUP(K156,Payment_table[Payment_Mode],Payment_table[Payment_Mode_ID])</f>
        <v>PM02</v>
      </c>
      <c r="M156" t="s">
        <v>578</v>
      </c>
      <c r="N156" t="s">
        <v>579</v>
      </c>
      <c r="O156" s="3">
        <v>35695</v>
      </c>
      <c r="P156" s="3">
        <v>6425.1</v>
      </c>
      <c r="Q156" s="3">
        <v>42120.1</v>
      </c>
      <c r="R156" t="s">
        <v>116</v>
      </c>
    </row>
    <row r="157" spans="1:18" x14ac:dyDescent="0.3">
      <c r="A157" t="s">
        <v>580</v>
      </c>
      <c r="B157" s="1">
        <v>46011</v>
      </c>
      <c r="C157" s="1" t="s">
        <v>23</v>
      </c>
      <c r="D157" t="str">
        <f>_xlfn.XLOOKUP(C157,Company_table[Company_Name],Company_table[Company_ID])</f>
        <v>C003</v>
      </c>
      <c r="E157" t="s">
        <v>47</v>
      </c>
      <c r="F157" t="str">
        <f>_xlfn.XLOOKUP(E157,Account_table[Account_Name],Account_table[Account_ID])</f>
        <v>A006</v>
      </c>
      <c r="G157" t="s">
        <v>74</v>
      </c>
      <c r="H157" t="str">
        <f>_xlfn.XLOOKUP(G157,Cust_Vend_table[Party_Name],Cust_Vend_table[Party_ID])</f>
        <v>P007</v>
      </c>
      <c r="I157" t="s">
        <v>84</v>
      </c>
      <c r="J157" t="str">
        <f>_xlfn.XLOOKUP(I157,Dept_table[Department_Name],Dept_table[Department_ID])</f>
        <v>D002</v>
      </c>
      <c r="K157" t="s">
        <v>100</v>
      </c>
      <c r="L157" t="str">
        <f>_xlfn.XLOOKUP(K157,Payment_table[Payment_Mode],Payment_table[Payment_Mode_ID])</f>
        <v>PM02</v>
      </c>
      <c r="M157" t="s">
        <v>581</v>
      </c>
      <c r="N157" t="s">
        <v>582</v>
      </c>
      <c r="O157" s="3">
        <v>46378</v>
      </c>
      <c r="P157" s="3">
        <v>8348.0400000000009</v>
      </c>
      <c r="Q157" s="3">
        <v>54726.04</v>
      </c>
      <c r="R157" t="s">
        <v>116</v>
      </c>
    </row>
    <row r="158" spans="1:18" x14ac:dyDescent="0.3">
      <c r="A158" t="s">
        <v>583</v>
      </c>
      <c r="B158" s="1">
        <v>45715</v>
      </c>
      <c r="C158" s="1" t="s">
        <v>14</v>
      </c>
      <c r="D158" t="str">
        <f>_xlfn.XLOOKUP(C158,Company_table[Company_Name],Company_table[Company_ID])</f>
        <v>C001</v>
      </c>
      <c r="E158" t="s">
        <v>35</v>
      </c>
      <c r="F158" t="str">
        <f>_xlfn.XLOOKUP(E158,Account_table[Account_Name],Account_table[Account_ID])</f>
        <v>A002</v>
      </c>
      <c r="G158" t="s">
        <v>60</v>
      </c>
      <c r="H158" t="str">
        <f>_xlfn.XLOOKUP(G158,Cust_Vend_table[Party_Name],Cust_Vend_table[Party_ID])</f>
        <v>P002</v>
      </c>
      <c r="I158" t="s">
        <v>84</v>
      </c>
      <c r="J158" t="str">
        <f>_xlfn.XLOOKUP(I158,Dept_table[Department_Name],Dept_table[Department_ID])</f>
        <v>D002</v>
      </c>
      <c r="K158" t="s">
        <v>98</v>
      </c>
      <c r="L158" t="str">
        <f>_xlfn.XLOOKUP(K158,Payment_table[Payment_Mode],Payment_table[Payment_Mode_ID])</f>
        <v>PM01</v>
      </c>
      <c r="M158" t="s">
        <v>584</v>
      </c>
      <c r="N158" t="s">
        <v>585</v>
      </c>
      <c r="O158" s="3">
        <v>8924</v>
      </c>
      <c r="P158" s="3">
        <v>1606.32</v>
      </c>
      <c r="Q158" s="3">
        <v>10530.32</v>
      </c>
      <c r="R158" t="s">
        <v>135</v>
      </c>
    </row>
    <row r="159" spans="1:18" x14ac:dyDescent="0.3">
      <c r="A159" t="s">
        <v>586</v>
      </c>
      <c r="B159" s="1">
        <v>45881</v>
      </c>
      <c r="C159" s="1" t="s">
        <v>14</v>
      </c>
      <c r="D159" t="str">
        <f>_xlfn.XLOOKUP(C159,Company_table[Company_Name],Company_table[Company_ID])</f>
        <v>C001</v>
      </c>
      <c r="E159" t="s">
        <v>35</v>
      </c>
      <c r="F159" t="str">
        <f>_xlfn.XLOOKUP(E159,Account_table[Account_Name],Account_table[Account_ID])</f>
        <v>A002</v>
      </c>
      <c r="G159" t="s">
        <v>62</v>
      </c>
      <c r="H159" t="str">
        <f>_xlfn.XLOOKUP(G159,Cust_Vend_table[Party_Name],Cust_Vend_table[Party_ID])</f>
        <v>P003</v>
      </c>
      <c r="I159" t="s">
        <v>87</v>
      </c>
      <c r="J159" t="str">
        <f>_xlfn.XLOOKUP(I159,Dept_table[Department_Name],Dept_table[Department_ID])</f>
        <v>D003</v>
      </c>
      <c r="K159" t="s">
        <v>98</v>
      </c>
      <c r="L159" t="str">
        <f>_xlfn.XLOOKUP(K159,Payment_table[Payment_Mode],Payment_table[Payment_Mode_ID])</f>
        <v>PM01</v>
      </c>
      <c r="M159" t="s">
        <v>587</v>
      </c>
      <c r="N159" t="s">
        <v>588</v>
      </c>
      <c r="O159" s="3">
        <v>22327</v>
      </c>
      <c r="P159" s="3">
        <v>4018.86</v>
      </c>
      <c r="Q159" s="3">
        <v>26345.86</v>
      </c>
      <c r="R159" t="s">
        <v>135</v>
      </c>
    </row>
    <row r="160" spans="1:18" x14ac:dyDescent="0.3">
      <c r="A160" t="s">
        <v>589</v>
      </c>
      <c r="B160" s="1">
        <v>45788</v>
      </c>
      <c r="C160" s="1" t="s">
        <v>14</v>
      </c>
      <c r="D160" t="str">
        <f>_xlfn.XLOOKUP(C160,Company_table[Company_Name],Company_table[Company_ID])</f>
        <v>C001</v>
      </c>
      <c r="E160" t="s">
        <v>49</v>
      </c>
      <c r="F160" t="str">
        <f>_xlfn.XLOOKUP(E160,Account_table[Account_Name],Account_table[Account_ID])</f>
        <v>A007</v>
      </c>
      <c r="G160" t="s">
        <v>72</v>
      </c>
      <c r="H160" t="str">
        <f>_xlfn.XLOOKUP(G160,Cust_Vend_table[Party_Name],Cust_Vend_table[Party_ID])</f>
        <v>P006</v>
      </c>
      <c r="I160" t="s">
        <v>84</v>
      </c>
      <c r="J160" t="str">
        <f>_xlfn.XLOOKUP(I160,Dept_table[Department_Name],Dept_table[Department_ID])</f>
        <v>D002</v>
      </c>
      <c r="K160" t="s">
        <v>104</v>
      </c>
      <c r="L160" t="str">
        <f>_xlfn.XLOOKUP(K160,Payment_table[Payment_Mode],Payment_table[Payment_Mode_ID])</f>
        <v>PM04</v>
      </c>
      <c r="M160" t="s">
        <v>590</v>
      </c>
      <c r="N160" t="s">
        <v>591</v>
      </c>
      <c r="O160" s="3">
        <v>18357</v>
      </c>
      <c r="P160" s="3">
        <v>3304.26</v>
      </c>
      <c r="Q160" s="3">
        <v>21661.26</v>
      </c>
      <c r="R160" t="s">
        <v>116</v>
      </c>
    </row>
    <row r="161" spans="1:18" x14ac:dyDescent="0.3">
      <c r="A161" t="s">
        <v>592</v>
      </c>
      <c r="B161" s="1">
        <v>45807</v>
      </c>
      <c r="C161" s="1" t="s">
        <v>19</v>
      </c>
      <c r="D161" t="str">
        <f>_xlfn.XLOOKUP(C161,Company_table[Company_Name],Company_table[Company_ID])</f>
        <v>C002</v>
      </c>
      <c r="E161" t="s">
        <v>37</v>
      </c>
      <c r="F161" t="str">
        <f>_xlfn.XLOOKUP(E161,Account_table[Account_Name],Account_table[Account_ID])</f>
        <v>A003</v>
      </c>
      <c r="G161" t="s">
        <v>57</v>
      </c>
      <c r="H161" t="str">
        <f>_xlfn.XLOOKUP(G161,Cust_Vend_table[Party_Name],Cust_Vend_table[Party_ID])</f>
        <v>P001</v>
      </c>
      <c r="I161" t="s">
        <v>84</v>
      </c>
      <c r="J161" t="str">
        <f>_xlfn.XLOOKUP(I161,Dept_table[Department_Name],Dept_table[Department_ID])</f>
        <v>D002</v>
      </c>
      <c r="K161" t="s">
        <v>100</v>
      </c>
      <c r="L161" t="str">
        <f>_xlfn.XLOOKUP(K161,Payment_table[Payment_Mode],Payment_table[Payment_Mode_ID])</f>
        <v>PM02</v>
      </c>
      <c r="M161" t="s">
        <v>593</v>
      </c>
      <c r="N161" t="s">
        <v>594</v>
      </c>
      <c r="O161" s="3">
        <v>41055</v>
      </c>
      <c r="P161" s="3">
        <v>7389.9</v>
      </c>
      <c r="Q161" s="3">
        <v>48444.9</v>
      </c>
      <c r="R161" t="s">
        <v>135</v>
      </c>
    </row>
    <row r="162" spans="1:18" x14ac:dyDescent="0.3">
      <c r="A162" t="s">
        <v>595</v>
      </c>
      <c r="B162" s="1">
        <v>46006</v>
      </c>
      <c r="C162" s="1" t="s">
        <v>23</v>
      </c>
      <c r="D162" t="str">
        <f>_xlfn.XLOOKUP(C162,Company_table[Company_Name],Company_table[Company_ID])</f>
        <v>C003</v>
      </c>
      <c r="E162" t="s">
        <v>31</v>
      </c>
      <c r="F162" t="str">
        <f>_xlfn.XLOOKUP(E162,Account_table[Account_Name],Account_table[Account_ID])</f>
        <v>A001</v>
      </c>
      <c r="G162" t="s">
        <v>62</v>
      </c>
      <c r="H162" t="str">
        <f>_xlfn.XLOOKUP(G162,Cust_Vend_table[Party_Name],Cust_Vend_table[Party_ID])</f>
        <v>P003</v>
      </c>
      <c r="I162" t="s">
        <v>87</v>
      </c>
      <c r="J162" t="str">
        <f>_xlfn.XLOOKUP(I162,Dept_table[Department_Name],Dept_table[Department_ID])</f>
        <v>D003</v>
      </c>
      <c r="K162" t="s">
        <v>98</v>
      </c>
      <c r="L162" t="str">
        <f>_xlfn.XLOOKUP(K162,Payment_table[Payment_Mode],Payment_table[Payment_Mode_ID])</f>
        <v>PM01</v>
      </c>
      <c r="M162" t="s">
        <v>596</v>
      </c>
      <c r="N162" t="s">
        <v>597</v>
      </c>
      <c r="O162" s="3">
        <v>22426</v>
      </c>
      <c r="P162" s="3">
        <v>4036.68</v>
      </c>
      <c r="Q162" s="3">
        <v>26462.68</v>
      </c>
      <c r="R162" t="s">
        <v>135</v>
      </c>
    </row>
    <row r="163" spans="1:18" x14ac:dyDescent="0.3">
      <c r="A163" t="s">
        <v>598</v>
      </c>
      <c r="B163" s="1">
        <v>45666</v>
      </c>
      <c r="C163" s="1" t="s">
        <v>19</v>
      </c>
      <c r="D163" t="str">
        <f>_xlfn.XLOOKUP(C163,Company_table[Company_Name],Company_table[Company_ID])</f>
        <v>C002</v>
      </c>
      <c r="E163" t="s">
        <v>49</v>
      </c>
      <c r="F163" t="str">
        <f>_xlfn.XLOOKUP(E163,Account_table[Account_Name],Account_table[Account_ID])</f>
        <v>A007</v>
      </c>
      <c r="G163" t="s">
        <v>74</v>
      </c>
      <c r="H163" t="str">
        <f>_xlfn.XLOOKUP(G163,Cust_Vend_table[Party_Name],Cust_Vend_table[Party_ID])</f>
        <v>P007</v>
      </c>
      <c r="I163" t="s">
        <v>81</v>
      </c>
      <c r="J163" t="str">
        <f>_xlfn.XLOOKUP(I163,Dept_table[Department_Name],Dept_table[Department_ID])</f>
        <v>D001</v>
      </c>
      <c r="K163" t="s">
        <v>98</v>
      </c>
      <c r="L163" t="str">
        <f>_xlfn.XLOOKUP(K163,Payment_table[Payment_Mode],Payment_table[Payment_Mode_ID])</f>
        <v>PM01</v>
      </c>
      <c r="M163" t="s">
        <v>599</v>
      </c>
      <c r="N163" t="s">
        <v>600</v>
      </c>
      <c r="O163" s="3">
        <v>2522</v>
      </c>
      <c r="P163" s="3">
        <v>453.96</v>
      </c>
      <c r="Q163" s="3">
        <v>2975.96</v>
      </c>
      <c r="R163" t="s">
        <v>116</v>
      </c>
    </row>
    <row r="164" spans="1:18" x14ac:dyDescent="0.3">
      <c r="A164" t="s">
        <v>601</v>
      </c>
      <c r="B164" s="1">
        <v>45779</v>
      </c>
      <c r="C164" s="1" t="s">
        <v>14</v>
      </c>
      <c r="D164" t="str">
        <f>_xlfn.XLOOKUP(C164,Company_table[Company_Name],Company_table[Company_ID])</f>
        <v>C001</v>
      </c>
      <c r="E164" t="s">
        <v>44</v>
      </c>
      <c r="F164" t="str">
        <f>_xlfn.XLOOKUP(E164,Account_table[Account_Name],Account_table[Account_ID])</f>
        <v>A005</v>
      </c>
      <c r="G164" t="s">
        <v>69</v>
      </c>
      <c r="H164" t="str">
        <f>_xlfn.XLOOKUP(G164,Cust_Vend_table[Party_Name],Cust_Vend_table[Party_ID])</f>
        <v>P005</v>
      </c>
      <c r="I164" t="s">
        <v>93</v>
      </c>
      <c r="J164" t="str">
        <f>_xlfn.XLOOKUP(I164,Dept_table[Department_Name],Dept_table[Department_ID])</f>
        <v>D005</v>
      </c>
      <c r="K164" t="s">
        <v>100</v>
      </c>
      <c r="L164" t="str">
        <f>_xlfn.XLOOKUP(K164,Payment_table[Payment_Mode],Payment_table[Payment_Mode_ID])</f>
        <v>PM02</v>
      </c>
      <c r="M164" t="s">
        <v>602</v>
      </c>
      <c r="N164" t="s">
        <v>603</v>
      </c>
      <c r="O164" s="3">
        <v>30593</v>
      </c>
      <c r="P164" s="3">
        <v>5506.74</v>
      </c>
      <c r="Q164" s="3">
        <v>36099.74</v>
      </c>
      <c r="R164" t="s">
        <v>116</v>
      </c>
    </row>
    <row r="165" spans="1:18" x14ac:dyDescent="0.3">
      <c r="A165" t="s">
        <v>604</v>
      </c>
      <c r="B165" s="1">
        <v>46027</v>
      </c>
      <c r="C165" s="1" t="s">
        <v>23</v>
      </c>
      <c r="D165" t="str">
        <f>_xlfn.XLOOKUP(C165,Company_table[Company_Name],Company_table[Company_ID])</f>
        <v>C003</v>
      </c>
      <c r="E165" t="s">
        <v>51</v>
      </c>
      <c r="F165" t="str">
        <f>_xlfn.XLOOKUP(E165,Account_table[Account_Name],Account_table[Account_ID])</f>
        <v>A008</v>
      </c>
      <c r="G165" t="s">
        <v>76</v>
      </c>
      <c r="H165" t="str">
        <f>_xlfn.XLOOKUP(G165,Cust_Vend_table[Party_Name],Cust_Vend_table[Party_ID])</f>
        <v>P008</v>
      </c>
      <c r="I165" t="s">
        <v>87</v>
      </c>
      <c r="J165" t="str">
        <f>_xlfn.XLOOKUP(I165,Dept_table[Department_Name],Dept_table[Department_ID])</f>
        <v>D003</v>
      </c>
      <c r="K165" t="s">
        <v>104</v>
      </c>
      <c r="L165" t="str">
        <f>_xlfn.XLOOKUP(K165,Payment_table[Payment_Mode],Payment_table[Payment_Mode_ID])</f>
        <v>PM04</v>
      </c>
      <c r="M165" t="s">
        <v>605</v>
      </c>
      <c r="N165" t="s">
        <v>606</v>
      </c>
      <c r="O165" s="3">
        <v>21734</v>
      </c>
      <c r="P165" s="3">
        <v>3912.12</v>
      </c>
      <c r="Q165" s="3">
        <v>25646.12</v>
      </c>
      <c r="R165" t="s">
        <v>116</v>
      </c>
    </row>
    <row r="166" spans="1:18" x14ac:dyDescent="0.3">
      <c r="A166" t="s">
        <v>607</v>
      </c>
      <c r="B166" s="1">
        <v>45791</v>
      </c>
      <c r="C166" s="1" t="s">
        <v>14</v>
      </c>
      <c r="D166" t="str">
        <f>_xlfn.XLOOKUP(C166,Company_table[Company_Name],Company_table[Company_ID])</f>
        <v>C001</v>
      </c>
      <c r="E166" t="s">
        <v>47</v>
      </c>
      <c r="F166" t="str">
        <f>_xlfn.XLOOKUP(E166,Account_table[Account_Name],Account_table[Account_ID])</f>
        <v>A006</v>
      </c>
      <c r="G166" t="s">
        <v>74</v>
      </c>
      <c r="H166" t="str">
        <f>_xlfn.XLOOKUP(G166,Cust_Vend_table[Party_Name],Cust_Vend_table[Party_ID])</f>
        <v>P007</v>
      </c>
      <c r="I166" t="s">
        <v>87</v>
      </c>
      <c r="J166" t="str">
        <f>_xlfn.XLOOKUP(I166,Dept_table[Department_Name],Dept_table[Department_ID])</f>
        <v>D003</v>
      </c>
      <c r="K166" t="s">
        <v>104</v>
      </c>
      <c r="L166" t="str">
        <f>_xlfn.XLOOKUP(K166,Payment_table[Payment_Mode],Payment_table[Payment_Mode_ID])</f>
        <v>PM04</v>
      </c>
      <c r="M166" t="s">
        <v>608</v>
      </c>
      <c r="N166" t="s">
        <v>609</v>
      </c>
      <c r="O166" s="3">
        <v>48168</v>
      </c>
      <c r="P166" s="3">
        <v>8670.24</v>
      </c>
      <c r="Q166" s="3">
        <v>56838.239999999998</v>
      </c>
      <c r="R166" t="s">
        <v>116</v>
      </c>
    </row>
    <row r="167" spans="1:18" x14ac:dyDescent="0.3">
      <c r="A167" t="s">
        <v>610</v>
      </c>
      <c r="B167" s="1">
        <v>45852</v>
      </c>
      <c r="C167" s="1" t="s">
        <v>19</v>
      </c>
      <c r="D167" t="str">
        <f>_xlfn.XLOOKUP(C167,Company_table[Company_Name],Company_table[Company_ID])</f>
        <v>C002</v>
      </c>
      <c r="E167" t="s">
        <v>31</v>
      </c>
      <c r="F167" t="str">
        <f>_xlfn.XLOOKUP(E167,Account_table[Account_Name],Account_table[Account_ID])</f>
        <v>A001</v>
      </c>
      <c r="G167" t="s">
        <v>57</v>
      </c>
      <c r="H167" t="str">
        <f>_xlfn.XLOOKUP(G167,Cust_Vend_table[Party_Name],Cust_Vend_table[Party_ID])</f>
        <v>P001</v>
      </c>
      <c r="I167" t="s">
        <v>84</v>
      </c>
      <c r="J167" t="str">
        <f>_xlfn.XLOOKUP(I167,Dept_table[Department_Name],Dept_table[Department_ID])</f>
        <v>D002</v>
      </c>
      <c r="K167" t="s">
        <v>98</v>
      </c>
      <c r="L167" t="str">
        <f>_xlfn.XLOOKUP(K167,Payment_table[Payment_Mode],Payment_table[Payment_Mode_ID])</f>
        <v>PM01</v>
      </c>
      <c r="M167" t="s">
        <v>611</v>
      </c>
      <c r="N167" t="s">
        <v>612</v>
      </c>
      <c r="O167" s="3">
        <v>15117</v>
      </c>
      <c r="P167" s="3">
        <v>2721.06</v>
      </c>
      <c r="Q167" s="3">
        <v>17838.060000000001</v>
      </c>
      <c r="R167" t="s">
        <v>135</v>
      </c>
    </row>
    <row r="168" spans="1:18" x14ac:dyDescent="0.3">
      <c r="A168" t="s">
        <v>613</v>
      </c>
      <c r="B168" s="1">
        <v>46042</v>
      </c>
      <c r="C168" s="1" t="s">
        <v>23</v>
      </c>
      <c r="D168" t="str">
        <f>_xlfn.XLOOKUP(C168,Company_table[Company_Name],Company_table[Company_ID])</f>
        <v>C003</v>
      </c>
      <c r="E168" t="s">
        <v>44</v>
      </c>
      <c r="F168" t="str">
        <f>_xlfn.XLOOKUP(E168,Account_table[Account_Name],Account_table[Account_ID])</f>
        <v>A005</v>
      </c>
      <c r="G168" t="s">
        <v>74</v>
      </c>
      <c r="H168" t="str">
        <f>_xlfn.XLOOKUP(G168,Cust_Vend_table[Party_Name],Cust_Vend_table[Party_ID])</f>
        <v>P007</v>
      </c>
      <c r="I168" t="s">
        <v>81</v>
      </c>
      <c r="J168" t="str">
        <f>_xlfn.XLOOKUP(I168,Dept_table[Department_Name],Dept_table[Department_ID])</f>
        <v>D001</v>
      </c>
      <c r="K168" t="s">
        <v>102</v>
      </c>
      <c r="L168" t="str">
        <f>_xlfn.XLOOKUP(K168,Payment_table[Payment_Mode],Payment_table[Payment_Mode_ID])</f>
        <v>PM03</v>
      </c>
      <c r="M168" t="s">
        <v>614</v>
      </c>
      <c r="N168" t="s">
        <v>615</v>
      </c>
      <c r="O168" s="3">
        <v>44012</v>
      </c>
      <c r="P168" s="3">
        <v>7922.16</v>
      </c>
      <c r="Q168" s="3">
        <v>51934.16</v>
      </c>
      <c r="R168" t="s">
        <v>116</v>
      </c>
    </row>
    <row r="169" spans="1:18" x14ac:dyDescent="0.3">
      <c r="A169" t="s">
        <v>616</v>
      </c>
      <c r="B169" s="1">
        <v>45785</v>
      </c>
      <c r="C169" s="1" t="s">
        <v>19</v>
      </c>
      <c r="D169" t="str">
        <f>_xlfn.XLOOKUP(C169,Company_table[Company_Name],Company_table[Company_ID])</f>
        <v>C002</v>
      </c>
      <c r="E169" t="s">
        <v>31</v>
      </c>
      <c r="F169" t="str">
        <f>_xlfn.XLOOKUP(E169,Account_table[Account_Name],Account_table[Account_ID])</f>
        <v>A001</v>
      </c>
      <c r="G169" t="s">
        <v>60</v>
      </c>
      <c r="H169" t="str">
        <f>_xlfn.XLOOKUP(G169,Cust_Vend_table[Party_Name],Cust_Vend_table[Party_ID])</f>
        <v>P002</v>
      </c>
      <c r="I169" t="s">
        <v>93</v>
      </c>
      <c r="J169" t="str">
        <f>_xlfn.XLOOKUP(I169,Dept_table[Department_Name],Dept_table[Department_ID])</f>
        <v>D005</v>
      </c>
      <c r="K169" t="s">
        <v>104</v>
      </c>
      <c r="L169" t="str">
        <f>_xlfn.XLOOKUP(K169,Payment_table[Payment_Mode],Payment_table[Payment_Mode_ID])</f>
        <v>PM04</v>
      </c>
      <c r="M169" t="s">
        <v>617</v>
      </c>
      <c r="N169" t="s">
        <v>618</v>
      </c>
      <c r="O169" s="3">
        <v>13290</v>
      </c>
      <c r="P169" s="3">
        <v>2392.1999999999998</v>
      </c>
      <c r="Q169" s="3">
        <v>15682.2</v>
      </c>
      <c r="R169" t="s">
        <v>135</v>
      </c>
    </row>
    <row r="170" spans="1:18" x14ac:dyDescent="0.3">
      <c r="A170" t="s">
        <v>619</v>
      </c>
      <c r="B170" s="1">
        <v>45886</v>
      </c>
      <c r="C170" s="1" t="s">
        <v>14</v>
      </c>
      <c r="D170" t="str">
        <f>_xlfn.XLOOKUP(C170,Company_table[Company_Name],Company_table[Company_ID])</f>
        <v>C001</v>
      </c>
      <c r="E170" t="s">
        <v>37</v>
      </c>
      <c r="F170" t="str">
        <f>_xlfn.XLOOKUP(E170,Account_table[Account_Name],Account_table[Account_ID])</f>
        <v>A003</v>
      </c>
      <c r="G170" t="s">
        <v>65</v>
      </c>
      <c r="H170" t="str">
        <f>_xlfn.XLOOKUP(G170,Cust_Vend_table[Party_Name],Cust_Vend_table[Party_ID])</f>
        <v>P004</v>
      </c>
      <c r="I170" t="s">
        <v>81</v>
      </c>
      <c r="J170" t="str">
        <f>_xlfn.XLOOKUP(I170,Dept_table[Department_Name],Dept_table[Department_ID])</f>
        <v>D001</v>
      </c>
      <c r="K170" t="s">
        <v>100</v>
      </c>
      <c r="L170" t="str">
        <f>_xlfn.XLOOKUP(K170,Payment_table[Payment_Mode],Payment_table[Payment_Mode_ID])</f>
        <v>PM02</v>
      </c>
      <c r="M170" t="s">
        <v>620</v>
      </c>
      <c r="N170" t="s">
        <v>621</v>
      </c>
      <c r="O170" s="3">
        <v>36203</v>
      </c>
      <c r="P170" s="3">
        <v>6516.54</v>
      </c>
      <c r="Q170" s="3">
        <v>42719.54</v>
      </c>
      <c r="R170" t="s">
        <v>135</v>
      </c>
    </row>
    <row r="171" spans="1:18" x14ac:dyDescent="0.3">
      <c r="A171" t="s">
        <v>622</v>
      </c>
      <c r="B171" s="1">
        <v>46048</v>
      </c>
      <c r="C171" s="1" t="s">
        <v>14</v>
      </c>
      <c r="D171" t="str">
        <f>_xlfn.XLOOKUP(C171,Company_table[Company_Name],Company_table[Company_ID])</f>
        <v>C001</v>
      </c>
      <c r="E171" t="s">
        <v>31</v>
      </c>
      <c r="F171" t="str">
        <f>_xlfn.XLOOKUP(E171,Account_table[Account_Name],Account_table[Account_ID])</f>
        <v>A001</v>
      </c>
      <c r="G171" t="s">
        <v>57</v>
      </c>
      <c r="H171" t="str">
        <f>_xlfn.XLOOKUP(G171,Cust_Vend_table[Party_Name],Cust_Vend_table[Party_ID])</f>
        <v>P001</v>
      </c>
      <c r="I171" t="s">
        <v>93</v>
      </c>
      <c r="J171" t="str">
        <f>_xlfn.XLOOKUP(I171,Dept_table[Department_Name],Dept_table[Department_ID])</f>
        <v>D005</v>
      </c>
      <c r="K171" t="s">
        <v>98</v>
      </c>
      <c r="L171" t="str">
        <f>_xlfn.XLOOKUP(K171,Payment_table[Payment_Mode],Payment_table[Payment_Mode_ID])</f>
        <v>PM01</v>
      </c>
      <c r="M171" t="s">
        <v>623</v>
      </c>
      <c r="N171" t="s">
        <v>624</v>
      </c>
      <c r="O171" s="3">
        <v>10695</v>
      </c>
      <c r="P171" s="3">
        <v>1925.1</v>
      </c>
      <c r="Q171" s="3">
        <v>12620.1</v>
      </c>
      <c r="R171" t="s">
        <v>135</v>
      </c>
    </row>
    <row r="172" spans="1:18" x14ac:dyDescent="0.3">
      <c r="A172" t="s">
        <v>625</v>
      </c>
      <c r="B172" s="1">
        <v>45667</v>
      </c>
      <c r="C172" s="1" t="s">
        <v>19</v>
      </c>
      <c r="D172" t="str">
        <f>_xlfn.XLOOKUP(C172,Company_table[Company_Name],Company_table[Company_ID])</f>
        <v>C002</v>
      </c>
      <c r="E172" t="s">
        <v>51</v>
      </c>
      <c r="F172" t="str">
        <f>_xlfn.XLOOKUP(E172,Account_table[Account_Name],Account_table[Account_ID])</f>
        <v>A008</v>
      </c>
      <c r="G172" t="s">
        <v>76</v>
      </c>
      <c r="H172" t="str">
        <f>_xlfn.XLOOKUP(G172,Cust_Vend_table[Party_Name],Cust_Vend_table[Party_ID])</f>
        <v>P008</v>
      </c>
      <c r="I172" t="s">
        <v>90</v>
      </c>
      <c r="J172" t="str">
        <f>_xlfn.XLOOKUP(I172,Dept_table[Department_Name],Dept_table[Department_ID])</f>
        <v>D004</v>
      </c>
      <c r="K172" t="s">
        <v>104</v>
      </c>
      <c r="L172" t="str">
        <f>_xlfn.XLOOKUP(K172,Payment_table[Payment_Mode],Payment_table[Payment_Mode_ID])</f>
        <v>PM04</v>
      </c>
      <c r="M172" t="s">
        <v>626</v>
      </c>
      <c r="N172" t="s">
        <v>627</v>
      </c>
      <c r="O172" s="3">
        <v>24812</v>
      </c>
      <c r="P172" s="3">
        <v>4466.16</v>
      </c>
      <c r="Q172" s="3">
        <v>29278.16</v>
      </c>
      <c r="R172" t="s">
        <v>116</v>
      </c>
    </row>
    <row r="173" spans="1:18" x14ac:dyDescent="0.3">
      <c r="A173" t="s">
        <v>628</v>
      </c>
      <c r="B173" s="1">
        <v>45667</v>
      </c>
      <c r="C173" s="1" t="s">
        <v>14</v>
      </c>
      <c r="D173" t="str">
        <f>_xlfn.XLOOKUP(C173,Company_table[Company_Name],Company_table[Company_ID])</f>
        <v>C001</v>
      </c>
      <c r="E173" t="s">
        <v>35</v>
      </c>
      <c r="F173" t="str">
        <f>_xlfn.XLOOKUP(E173,Account_table[Account_Name],Account_table[Account_ID])</f>
        <v>A002</v>
      </c>
      <c r="G173" t="s">
        <v>65</v>
      </c>
      <c r="H173" t="str">
        <f>_xlfn.XLOOKUP(G173,Cust_Vend_table[Party_Name],Cust_Vend_table[Party_ID])</f>
        <v>P004</v>
      </c>
      <c r="I173" t="s">
        <v>90</v>
      </c>
      <c r="J173" t="str">
        <f>_xlfn.XLOOKUP(I173,Dept_table[Department_Name],Dept_table[Department_ID])</f>
        <v>D004</v>
      </c>
      <c r="K173" t="s">
        <v>102</v>
      </c>
      <c r="L173" t="str">
        <f>_xlfn.XLOOKUP(K173,Payment_table[Payment_Mode],Payment_table[Payment_Mode_ID])</f>
        <v>PM03</v>
      </c>
      <c r="M173" t="s">
        <v>629</v>
      </c>
      <c r="N173" t="s">
        <v>630</v>
      </c>
      <c r="O173" s="3">
        <v>40470</v>
      </c>
      <c r="P173" s="3">
        <v>7284.6</v>
      </c>
      <c r="Q173" s="3">
        <v>47754.6</v>
      </c>
      <c r="R173" t="s">
        <v>135</v>
      </c>
    </row>
    <row r="174" spans="1:18" x14ac:dyDescent="0.3">
      <c r="A174" t="s">
        <v>631</v>
      </c>
      <c r="B174" s="1">
        <v>45994</v>
      </c>
      <c r="C174" s="1" t="s">
        <v>19</v>
      </c>
      <c r="D174" t="str">
        <f>_xlfn.XLOOKUP(C174,Company_table[Company_Name],Company_table[Company_ID])</f>
        <v>C002</v>
      </c>
      <c r="E174" t="s">
        <v>44</v>
      </c>
      <c r="F174" t="str">
        <f>_xlfn.XLOOKUP(E174,Account_table[Account_Name],Account_table[Account_ID])</f>
        <v>A005</v>
      </c>
      <c r="G174" t="s">
        <v>72</v>
      </c>
      <c r="H174" t="str">
        <f>_xlfn.XLOOKUP(G174,Cust_Vend_table[Party_Name],Cust_Vend_table[Party_ID])</f>
        <v>P006</v>
      </c>
      <c r="I174" t="s">
        <v>90</v>
      </c>
      <c r="J174" t="str">
        <f>_xlfn.XLOOKUP(I174,Dept_table[Department_Name],Dept_table[Department_ID])</f>
        <v>D004</v>
      </c>
      <c r="K174" t="s">
        <v>100</v>
      </c>
      <c r="L174" t="str">
        <f>_xlfn.XLOOKUP(K174,Payment_table[Payment_Mode],Payment_table[Payment_Mode_ID])</f>
        <v>PM02</v>
      </c>
      <c r="M174" t="s">
        <v>632</v>
      </c>
      <c r="N174" t="s">
        <v>633</v>
      </c>
      <c r="O174" s="3">
        <v>6389</v>
      </c>
      <c r="P174" s="3">
        <v>1150.02</v>
      </c>
      <c r="Q174" s="3">
        <v>7539.02</v>
      </c>
      <c r="R174" t="s">
        <v>116</v>
      </c>
    </row>
    <row r="175" spans="1:18" x14ac:dyDescent="0.3">
      <c r="A175" t="s">
        <v>634</v>
      </c>
      <c r="B175" s="1">
        <v>45959</v>
      </c>
      <c r="C175" s="1" t="s">
        <v>19</v>
      </c>
      <c r="D175" t="str">
        <f>_xlfn.XLOOKUP(C175,Company_table[Company_Name],Company_table[Company_ID])</f>
        <v>C002</v>
      </c>
      <c r="E175" t="s">
        <v>35</v>
      </c>
      <c r="F175" t="str">
        <f>_xlfn.XLOOKUP(E175,Account_table[Account_Name],Account_table[Account_ID])</f>
        <v>A002</v>
      </c>
      <c r="G175" t="s">
        <v>57</v>
      </c>
      <c r="H175" t="str">
        <f>_xlfn.XLOOKUP(G175,Cust_Vend_table[Party_Name],Cust_Vend_table[Party_ID])</f>
        <v>P001</v>
      </c>
      <c r="I175" t="s">
        <v>87</v>
      </c>
      <c r="J175" t="str">
        <f>_xlfn.XLOOKUP(I175,Dept_table[Department_Name],Dept_table[Department_ID])</f>
        <v>D003</v>
      </c>
      <c r="K175" t="s">
        <v>102</v>
      </c>
      <c r="L175" t="str">
        <f>_xlfn.XLOOKUP(K175,Payment_table[Payment_Mode],Payment_table[Payment_Mode_ID])</f>
        <v>PM03</v>
      </c>
      <c r="M175" t="s">
        <v>635</v>
      </c>
      <c r="N175" t="s">
        <v>636</v>
      </c>
      <c r="O175" s="3">
        <v>38174</v>
      </c>
      <c r="P175" s="3">
        <v>6871.32</v>
      </c>
      <c r="Q175" s="3">
        <v>45045.32</v>
      </c>
      <c r="R175" t="s">
        <v>135</v>
      </c>
    </row>
    <row r="176" spans="1:18" x14ac:dyDescent="0.3">
      <c r="A176" t="s">
        <v>637</v>
      </c>
      <c r="B176" s="1">
        <v>45690</v>
      </c>
      <c r="C176" s="1" t="s">
        <v>14</v>
      </c>
      <c r="D176" t="str">
        <f>_xlfn.XLOOKUP(C176,Company_table[Company_Name],Company_table[Company_ID])</f>
        <v>C001</v>
      </c>
      <c r="E176" t="s">
        <v>49</v>
      </c>
      <c r="F176" t="str">
        <f>_xlfn.XLOOKUP(E176,Account_table[Account_Name],Account_table[Account_ID])</f>
        <v>A007</v>
      </c>
      <c r="G176" t="s">
        <v>76</v>
      </c>
      <c r="H176" t="str">
        <f>_xlfn.XLOOKUP(G176,Cust_Vend_table[Party_Name],Cust_Vend_table[Party_ID])</f>
        <v>P008</v>
      </c>
      <c r="I176" t="s">
        <v>93</v>
      </c>
      <c r="J176" t="str">
        <f>_xlfn.XLOOKUP(I176,Dept_table[Department_Name],Dept_table[Department_ID])</f>
        <v>D005</v>
      </c>
      <c r="K176" t="s">
        <v>104</v>
      </c>
      <c r="L176" t="str">
        <f>_xlfn.XLOOKUP(K176,Payment_table[Payment_Mode],Payment_table[Payment_Mode_ID])</f>
        <v>PM04</v>
      </c>
      <c r="M176" t="s">
        <v>638</v>
      </c>
      <c r="N176" t="s">
        <v>639</v>
      </c>
      <c r="O176" s="3">
        <v>8199</v>
      </c>
      <c r="P176" s="3">
        <v>1475.82</v>
      </c>
      <c r="Q176" s="3">
        <v>9674.82</v>
      </c>
      <c r="R176" t="s">
        <v>116</v>
      </c>
    </row>
    <row r="177" spans="1:18" x14ac:dyDescent="0.3">
      <c r="A177" t="s">
        <v>640</v>
      </c>
      <c r="B177" s="1">
        <v>45788</v>
      </c>
      <c r="C177" s="1" t="s">
        <v>23</v>
      </c>
      <c r="D177" t="str">
        <f>_xlfn.XLOOKUP(C177,Company_table[Company_Name],Company_table[Company_ID])</f>
        <v>C003</v>
      </c>
      <c r="E177" t="s">
        <v>51</v>
      </c>
      <c r="F177" t="str">
        <f>_xlfn.XLOOKUP(E177,Account_table[Account_Name],Account_table[Account_ID])</f>
        <v>A008</v>
      </c>
      <c r="G177" t="s">
        <v>76</v>
      </c>
      <c r="H177" t="str">
        <f>_xlfn.XLOOKUP(G177,Cust_Vend_table[Party_Name],Cust_Vend_table[Party_ID])</f>
        <v>P008</v>
      </c>
      <c r="I177" t="s">
        <v>84</v>
      </c>
      <c r="J177" t="str">
        <f>_xlfn.XLOOKUP(I177,Dept_table[Department_Name],Dept_table[Department_ID])</f>
        <v>D002</v>
      </c>
      <c r="K177" t="s">
        <v>98</v>
      </c>
      <c r="L177" t="str">
        <f>_xlfn.XLOOKUP(K177,Payment_table[Payment_Mode],Payment_table[Payment_Mode_ID])</f>
        <v>PM01</v>
      </c>
      <c r="M177" t="s">
        <v>641</v>
      </c>
      <c r="N177" t="s">
        <v>642</v>
      </c>
      <c r="O177" s="3">
        <v>14004</v>
      </c>
      <c r="P177" s="3">
        <v>2520.7199999999998</v>
      </c>
      <c r="Q177" s="3">
        <v>16524.72</v>
      </c>
      <c r="R177" t="s">
        <v>116</v>
      </c>
    </row>
    <row r="178" spans="1:18" x14ac:dyDescent="0.3">
      <c r="A178" t="s">
        <v>643</v>
      </c>
      <c r="B178" s="1">
        <v>46004</v>
      </c>
      <c r="C178" s="1" t="s">
        <v>23</v>
      </c>
      <c r="D178" t="str">
        <f>_xlfn.XLOOKUP(C178,Company_table[Company_Name],Company_table[Company_ID])</f>
        <v>C003</v>
      </c>
      <c r="E178" t="s">
        <v>37</v>
      </c>
      <c r="F178" t="str">
        <f>_xlfn.XLOOKUP(E178,Account_table[Account_Name],Account_table[Account_ID])</f>
        <v>A003</v>
      </c>
      <c r="G178" t="s">
        <v>60</v>
      </c>
      <c r="H178" t="str">
        <f>_xlfn.XLOOKUP(G178,Cust_Vend_table[Party_Name],Cust_Vend_table[Party_ID])</f>
        <v>P002</v>
      </c>
      <c r="I178" t="s">
        <v>84</v>
      </c>
      <c r="J178" t="str">
        <f>_xlfn.XLOOKUP(I178,Dept_table[Department_Name],Dept_table[Department_ID])</f>
        <v>D002</v>
      </c>
      <c r="K178" t="s">
        <v>100</v>
      </c>
      <c r="L178" t="str">
        <f>_xlfn.XLOOKUP(K178,Payment_table[Payment_Mode],Payment_table[Payment_Mode_ID])</f>
        <v>PM02</v>
      </c>
      <c r="M178" t="s">
        <v>644</v>
      </c>
      <c r="N178" t="s">
        <v>645</v>
      </c>
      <c r="O178" s="3">
        <v>20903</v>
      </c>
      <c r="P178" s="3">
        <v>3762.54</v>
      </c>
      <c r="Q178" s="3">
        <v>24665.54</v>
      </c>
      <c r="R178" t="s">
        <v>135</v>
      </c>
    </row>
    <row r="179" spans="1:18" x14ac:dyDescent="0.3">
      <c r="A179" t="s">
        <v>646</v>
      </c>
      <c r="B179" s="1">
        <v>45898</v>
      </c>
      <c r="C179" s="1" t="s">
        <v>23</v>
      </c>
      <c r="D179" t="str">
        <f>_xlfn.XLOOKUP(C179,Company_table[Company_Name],Company_table[Company_ID])</f>
        <v>C003</v>
      </c>
      <c r="E179" t="s">
        <v>31</v>
      </c>
      <c r="F179" t="str">
        <f>_xlfn.XLOOKUP(E179,Account_table[Account_Name],Account_table[Account_ID])</f>
        <v>A001</v>
      </c>
      <c r="G179" t="s">
        <v>60</v>
      </c>
      <c r="H179" t="str">
        <f>_xlfn.XLOOKUP(G179,Cust_Vend_table[Party_Name],Cust_Vend_table[Party_ID])</f>
        <v>P002</v>
      </c>
      <c r="I179" t="s">
        <v>90</v>
      </c>
      <c r="J179" t="str">
        <f>_xlfn.XLOOKUP(I179,Dept_table[Department_Name],Dept_table[Department_ID])</f>
        <v>D004</v>
      </c>
      <c r="K179" t="s">
        <v>104</v>
      </c>
      <c r="L179" t="str">
        <f>_xlfn.XLOOKUP(K179,Payment_table[Payment_Mode],Payment_table[Payment_Mode_ID])</f>
        <v>PM04</v>
      </c>
      <c r="M179" t="s">
        <v>647</v>
      </c>
      <c r="N179" t="s">
        <v>648</v>
      </c>
      <c r="O179" s="3">
        <v>26042</v>
      </c>
      <c r="P179" s="3">
        <v>4687.5600000000004</v>
      </c>
      <c r="Q179" s="3">
        <v>30729.56</v>
      </c>
      <c r="R179" t="s">
        <v>135</v>
      </c>
    </row>
    <row r="180" spans="1:18" x14ac:dyDescent="0.3">
      <c r="A180" t="s">
        <v>649</v>
      </c>
      <c r="B180" s="1">
        <v>45858</v>
      </c>
      <c r="C180" s="1" t="s">
        <v>19</v>
      </c>
      <c r="D180" t="str">
        <f>_xlfn.XLOOKUP(C180,Company_table[Company_Name],Company_table[Company_ID])</f>
        <v>C002</v>
      </c>
      <c r="E180" t="s">
        <v>31</v>
      </c>
      <c r="F180" t="str">
        <f>_xlfn.XLOOKUP(E180,Account_table[Account_Name],Account_table[Account_ID])</f>
        <v>A001</v>
      </c>
      <c r="G180" t="s">
        <v>65</v>
      </c>
      <c r="H180" t="str">
        <f>_xlfn.XLOOKUP(G180,Cust_Vend_table[Party_Name],Cust_Vend_table[Party_ID])</f>
        <v>P004</v>
      </c>
      <c r="I180" t="s">
        <v>87</v>
      </c>
      <c r="J180" t="str">
        <f>_xlfn.XLOOKUP(I180,Dept_table[Department_Name],Dept_table[Department_ID])</f>
        <v>D003</v>
      </c>
      <c r="K180" t="s">
        <v>100</v>
      </c>
      <c r="L180" t="str">
        <f>_xlfn.XLOOKUP(K180,Payment_table[Payment_Mode],Payment_table[Payment_Mode_ID])</f>
        <v>PM02</v>
      </c>
      <c r="M180" t="s">
        <v>650</v>
      </c>
      <c r="N180" t="s">
        <v>651</v>
      </c>
      <c r="O180" s="3">
        <v>34152</v>
      </c>
      <c r="P180" s="3">
        <v>6147.36</v>
      </c>
      <c r="Q180" s="3">
        <v>40299.360000000001</v>
      </c>
      <c r="R180" t="s">
        <v>135</v>
      </c>
    </row>
    <row r="181" spans="1:18" x14ac:dyDescent="0.3">
      <c r="A181" t="s">
        <v>652</v>
      </c>
      <c r="B181" s="1">
        <v>45696</v>
      </c>
      <c r="C181" s="1" t="s">
        <v>14</v>
      </c>
      <c r="D181" t="str">
        <f>_xlfn.XLOOKUP(C181,Company_table[Company_Name],Company_table[Company_ID])</f>
        <v>C001</v>
      </c>
      <c r="E181" t="s">
        <v>44</v>
      </c>
      <c r="F181" t="str">
        <f>_xlfn.XLOOKUP(E181,Account_table[Account_Name],Account_table[Account_ID])</f>
        <v>A005</v>
      </c>
      <c r="G181" t="s">
        <v>74</v>
      </c>
      <c r="H181" t="str">
        <f>_xlfn.XLOOKUP(G181,Cust_Vend_table[Party_Name],Cust_Vend_table[Party_ID])</f>
        <v>P007</v>
      </c>
      <c r="I181" t="s">
        <v>90</v>
      </c>
      <c r="J181" t="str">
        <f>_xlfn.XLOOKUP(I181,Dept_table[Department_Name],Dept_table[Department_ID])</f>
        <v>D004</v>
      </c>
      <c r="K181" t="s">
        <v>102</v>
      </c>
      <c r="L181" t="str">
        <f>_xlfn.XLOOKUP(K181,Payment_table[Payment_Mode],Payment_table[Payment_Mode_ID])</f>
        <v>PM03</v>
      </c>
      <c r="M181" t="s">
        <v>653</v>
      </c>
      <c r="N181" t="s">
        <v>654</v>
      </c>
      <c r="O181" s="3">
        <v>16898</v>
      </c>
      <c r="P181" s="3">
        <v>3041.64</v>
      </c>
      <c r="Q181" s="3">
        <v>19939.64</v>
      </c>
      <c r="R181" t="s">
        <v>116</v>
      </c>
    </row>
    <row r="182" spans="1:18" x14ac:dyDescent="0.3">
      <c r="A182" t="s">
        <v>655</v>
      </c>
      <c r="B182" s="1">
        <v>45659</v>
      </c>
      <c r="C182" s="1" t="s">
        <v>23</v>
      </c>
      <c r="D182" t="str">
        <f>_xlfn.XLOOKUP(C182,Company_table[Company_Name],Company_table[Company_ID])</f>
        <v>C003</v>
      </c>
      <c r="E182" t="s">
        <v>31</v>
      </c>
      <c r="F182" t="str">
        <f>_xlfn.XLOOKUP(E182,Account_table[Account_Name],Account_table[Account_ID])</f>
        <v>A001</v>
      </c>
      <c r="G182" t="s">
        <v>65</v>
      </c>
      <c r="H182" t="str">
        <f>_xlfn.XLOOKUP(G182,Cust_Vend_table[Party_Name],Cust_Vend_table[Party_ID])</f>
        <v>P004</v>
      </c>
      <c r="I182" t="s">
        <v>84</v>
      </c>
      <c r="J182" t="str">
        <f>_xlfn.XLOOKUP(I182,Dept_table[Department_Name],Dept_table[Department_ID])</f>
        <v>D002</v>
      </c>
      <c r="K182" t="s">
        <v>100</v>
      </c>
      <c r="L182" t="str">
        <f>_xlfn.XLOOKUP(K182,Payment_table[Payment_Mode],Payment_table[Payment_Mode_ID])</f>
        <v>PM02</v>
      </c>
      <c r="M182" t="s">
        <v>656</v>
      </c>
      <c r="N182" t="s">
        <v>657</v>
      </c>
      <c r="O182" s="3">
        <v>10551</v>
      </c>
      <c r="P182" s="3">
        <v>1899.18</v>
      </c>
      <c r="Q182" s="3">
        <v>12450.18</v>
      </c>
      <c r="R182" t="s">
        <v>135</v>
      </c>
    </row>
    <row r="183" spans="1:18" x14ac:dyDescent="0.3">
      <c r="A183" t="s">
        <v>658</v>
      </c>
      <c r="B183" s="1">
        <v>45913</v>
      </c>
      <c r="C183" s="1" t="s">
        <v>23</v>
      </c>
      <c r="D183" t="str">
        <f>_xlfn.XLOOKUP(C183,Company_table[Company_Name],Company_table[Company_ID])</f>
        <v>C003</v>
      </c>
      <c r="E183" t="s">
        <v>35</v>
      </c>
      <c r="F183" t="str">
        <f>_xlfn.XLOOKUP(E183,Account_table[Account_Name],Account_table[Account_ID])</f>
        <v>A002</v>
      </c>
      <c r="G183" t="s">
        <v>62</v>
      </c>
      <c r="H183" t="str">
        <f>_xlfn.XLOOKUP(G183,Cust_Vend_table[Party_Name],Cust_Vend_table[Party_ID])</f>
        <v>P003</v>
      </c>
      <c r="I183" t="s">
        <v>87</v>
      </c>
      <c r="J183" t="str">
        <f>_xlfn.XLOOKUP(I183,Dept_table[Department_Name],Dept_table[Department_ID])</f>
        <v>D003</v>
      </c>
      <c r="K183" t="s">
        <v>102</v>
      </c>
      <c r="L183" t="str">
        <f>_xlfn.XLOOKUP(K183,Payment_table[Payment_Mode],Payment_table[Payment_Mode_ID])</f>
        <v>PM03</v>
      </c>
      <c r="M183" t="s">
        <v>659</v>
      </c>
      <c r="N183" t="s">
        <v>660</v>
      </c>
      <c r="O183" s="3">
        <v>9405</v>
      </c>
      <c r="P183" s="3">
        <v>1692.9</v>
      </c>
      <c r="Q183" s="3">
        <v>11097.9</v>
      </c>
      <c r="R183" t="s">
        <v>135</v>
      </c>
    </row>
    <row r="184" spans="1:18" x14ac:dyDescent="0.3">
      <c r="A184" t="s">
        <v>661</v>
      </c>
      <c r="B184" s="1">
        <v>45920</v>
      </c>
      <c r="C184" s="1" t="s">
        <v>14</v>
      </c>
      <c r="D184" t="str">
        <f>_xlfn.XLOOKUP(C184,Company_table[Company_Name],Company_table[Company_ID])</f>
        <v>C001</v>
      </c>
      <c r="E184" t="s">
        <v>35</v>
      </c>
      <c r="F184" t="str">
        <f>_xlfn.XLOOKUP(E184,Account_table[Account_Name],Account_table[Account_ID])</f>
        <v>A002</v>
      </c>
      <c r="G184" t="s">
        <v>65</v>
      </c>
      <c r="H184" t="str">
        <f>_xlfn.XLOOKUP(G184,Cust_Vend_table[Party_Name],Cust_Vend_table[Party_ID])</f>
        <v>P004</v>
      </c>
      <c r="I184" t="s">
        <v>93</v>
      </c>
      <c r="J184" t="str">
        <f>_xlfn.XLOOKUP(I184,Dept_table[Department_Name],Dept_table[Department_ID])</f>
        <v>D005</v>
      </c>
      <c r="K184" t="s">
        <v>100</v>
      </c>
      <c r="L184" t="str">
        <f>_xlfn.XLOOKUP(K184,Payment_table[Payment_Mode],Payment_table[Payment_Mode_ID])</f>
        <v>PM02</v>
      </c>
      <c r="M184" t="s">
        <v>662</v>
      </c>
      <c r="N184" t="s">
        <v>663</v>
      </c>
      <c r="O184" s="3">
        <v>5062</v>
      </c>
      <c r="P184" s="3">
        <v>911.16</v>
      </c>
      <c r="Q184" s="3">
        <v>5973.16</v>
      </c>
      <c r="R184" t="s">
        <v>135</v>
      </c>
    </row>
    <row r="185" spans="1:18" x14ac:dyDescent="0.3">
      <c r="A185" t="s">
        <v>664</v>
      </c>
      <c r="B185" s="1">
        <v>45740</v>
      </c>
      <c r="C185" s="1" t="s">
        <v>19</v>
      </c>
      <c r="D185" t="str">
        <f>_xlfn.XLOOKUP(C185,Company_table[Company_Name],Company_table[Company_ID])</f>
        <v>C002</v>
      </c>
      <c r="E185" t="s">
        <v>37</v>
      </c>
      <c r="F185" t="str">
        <f>_xlfn.XLOOKUP(E185,Account_table[Account_Name],Account_table[Account_ID])</f>
        <v>A003</v>
      </c>
      <c r="G185" t="s">
        <v>60</v>
      </c>
      <c r="H185" t="str">
        <f>_xlfn.XLOOKUP(G185,Cust_Vend_table[Party_Name],Cust_Vend_table[Party_ID])</f>
        <v>P002</v>
      </c>
      <c r="I185" t="s">
        <v>93</v>
      </c>
      <c r="J185" t="str">
        <f>_xlfn.XLOOKUP(I185,Dept_table[Department_Name],Dept_table[Department_ID])</f>
        <v>D005</v>
      </c>
      <c r="K185" t="s">
        <v>102</v>
      </c>
      <c r="L185" t="str">
        <f>_xlfn.XLOOKUP(K185,Payment_table[Payment_Mode],Payment_table[Payment_Mode_ID])</f>
        <v>PM03</v>
      </c>
      <c r="M185" t="s">
        <v>665</v>
      </c>
      <c r="N185" t="s">
        <v>666</v>
      </c>
      <c r="O185" s="3">
        <v>18010</v>
      </c>
      <c r="P185" s="3">
        <v>3241.8</v>
      </c>
      <c r="Q185" s="3">
        <v>21251.8</v>
      </c>
      <c r="R185" t="s">
        <v>135</v>
      </c>
    </row>
    <row r="186" spans="1:18" x14ac:dyDescent="0.3">
      <c r="A186" t="s">
        <v>667</v>
      </c>
      <c r="B186" s="1">
        <v>45882</v>
      </c>
      <c r="C186" s="1" t="s">
        <v>14</v>
      </c>
      <c r="D186" t="str">
        <f>_xlfn.XLOOKUP(C186,Company_table[Company_Name],Company_table[Company_ID])</f>
        <v>C001</v>
      </c>
      <c r="E186" t="s">
        <v>31</v>
      </c>
      <c r="F186" t="str">
        <f>_xlfn.XLOOKUP(E186,Account_table[Account_Name],Account_table[Account_ID])</f>
        <v>A001</v>
      </c>
      <c r="G186" t="s">
        <v>62</v>
      </c>
      <c r="H186" t="str">
        <f>_xlfn.XLOOKUP(G186,Cust_Vend_table[Party_Name],Cust_Vend_table[Party_ID])</f>
        <v>P003</v>
      </c>
      <c r="I186" t="s">
        <v>87</v>
      </c>
      <c r="J186" t="str">
        <f>_xlfn.XLOOKUP(I186,Dept_table[Department_Name],Dept_table[Department_ID])</f>
        <v>D003</v>
      </c>
      <c r="K186" t="s">
        <v>104</v>
      </c>
      <c r="L186" t="str">
        <f>_xlfn.XLOOKUP(K186,Payment_table[Payment_Mode],Payment_table[Payment_Mode_ID])</f>
        <v>PM04</v>
      </c>
      <c r="M186" t="s">
        <v>668</v>
      </c>
      <c r="N186" t="s">
        <v>669</v>
      </c>
      <c r="O186" s="3">
        <v>40995</v>
      </c>
      <c r="P186" s="3">
        <v>7379.1</v>
      </c>
      <c r="Q186" s="3">
        <v>48374.1</v>
      </c>
      <c r="R186" t="s">
        <v>135</v>
      </c>
    </row>
    <row r="187" spans="1:18" x14ac:dyDescent="0.3">
      <c r="A187" t="s">
        <v>670</v>
      </c>
      <c r="B187" s="1">
        <v>45746</v>
      </c>
      <c r="C187" s="1" t="s">
        <v>23</v>
      </c>
      <c r="D187" t="str">
        <f>_xlfn.XLOOKUP(C187,Company_table[Company_Name],Company_table[Company_ID])</f>
        <v>C003</v>
      </c>
      <c r="E187" t="s">
        <v>35</v>
      </c>
      <c r="F187" t="str">
        <f>_xlfn.XLOOKUP(E187,Account_table[Account_Name],Account_table[Account_ID])</f>
        <v>A002</v>
      </c>
      <c r="G187" t="s">
        <v>60</v>
      </c>
      <c r="H187" t="str">
        <f>_xlfn.XLOOKUP(G187,Cust_Vend_table[Party_Name],Cust_Vend_table[Party_ID])</f>
        <v>P002</v>
      </c>
      <c r="I187" t="s">
        <v>84</v>
      </c>
      <c r="J187" t="str">
        <f>_xlfn.XLOOKUP(I187,Dept_table[Department_Name],Dept_table[Department_ID])</f>
        <v>D002</v>
      </c>
      <c r="K187" t="s">
        <v>98</v>
      </c>
      <c r="L187" t="str">
        <f>_xlfn.XLOOKUP(K187,Payment_table[Payment_Mode],Payment_table[Payment_Mode_ID])</f>
        <v>PM01</v>
      </c>
      <c r="M187" t="s">
        <v>671</v>
      </c>
      <c r="N187" t="s">
        <v>672</v>
      </c>
      <c r="O187" s="3">
        <v>42115</v>
      </c>
      <c r="P187" s="3">
        <v>7580.7</v>
      </c>
      <c r="Q187" s="3">
        <v>49695.7</v>
      </c>
      <c r="R187" t="s">
        <v>135</v>
      </c>
    </row>
    <row r="188" spans="1:18" x14ac:dyDescent="0.3">
      <c r="A188" t="s">
        <v>673</v>
      </c>
      <c r="B188" s="1">
        <v>46075</v>
      </c>
      <c r="C188" s="1" t="s">
        <v>14</v>
      </c>
      <c r="D188" t="str">
        <f>_xlfn.XLOOKUP(C188,Company_table[Company_Name],Company_table[Company_ID])</f>
        <v>C001</v>
      </c>
      <c r="E188" t="s">
        <v>37</v>
      </c>
      <c r="F188" t="str">
        <f>_xlfn.XLOOKUP(E188,Account_table[Account_Name],Account_table[Account_ID])</f>
        <v>A003</v>
      </c>
      <c r="G188" t="s">
        <v>65</v>
      </c>
      <c r="H188" t="str">
        <f>_xlfn.XLOOKUP(G188,Cust_Vend_table[Party_Name],Cust_Vend_table[Party_ID])</f>
        <v>P004</v>
      </c>
      <c r="I188" t="s">
        <v>81</v>
      </c>
      <c r="J188" t="str">
        <f>_xlfn.XLOOKUP(I188,Dept_table[Department_Name],Dept_table[Department_ID])</f>
        <v>D001</v>
      </c>
      <c r="K188" t="s">
        <v>102</v>
      </c>
      <c r="L188" t="str">
        <f>_xlfn.XLOOKUP(K188,Payment_table[Payment_Mode],Payment_table[Payment_Mode_ID])</f>
        <v>PM03</v>
      </c>
      <c r="M188" t="s">
        <v>674</v>
      </c>
      <c r="N188" t="s">
        <v>675</v>
      </c>
      <c r="O188" s="3">
        <v>47796</v>
      </c>
      <c r="P188" s="3">
        <v>8603.2800000000007</v>
      </c>
      <c r="Q188" s="3">
        <v>56399.28</v>
      </c>
      <c r="R188" t="s">
        <v>135</v>
      </c>
    </row>
    <row r="189" spans="1:18" x14ac:dyDescent="0.3">
      <c r="A189" t="s">
        <v>676</v>
      </c>
      <c r="B189" s="1">
        <v>45958</v>
      </c>
      <c r="C189" s="1" t="s">
        <v>19</v>
      </c>
      <c r="D189" t="str">
        <f>_xlfn.XLOOKUP(C189,Company_table[Company_Name],Company_table[Company_ID])</f>
        <v>C002</v>
      </c>
      <c r="E189" t="s">
        <v>40</v>
      </c>
      <c r="F189" t="str">
        <f>_xlfn.XLOOKUP(E189,Account_table[Account_Name],Account_table[Account_ID])</f>
        <v>A004</v>
      </c>
      <c r="G189" t="s">
        <v>72</v>
      </c>
      <c r="H189" t="str">
        <f>_xlfn.XLOOKUP(G189,Cust_Vend_table[Party_Name],Cust_Vend_table[Party_ID])</f>
        <v>P006</v>
      </c>
      <c r="I189" t="s">
        <v>81</v>
      </c>
      <c r="J189" t="str">
        <f>_xlfn.XLOOKUP(I189,Dept_table[Department_Name],Dept_table[Department_ID])</f>
        <v>D001</v>
      </c>
      <c r="K189" t="s">
        <v>104</v>
      </c>
      <c r="L189" t="str">
        <f>_xlfn.XLOOKUP(K189,Payment_table[Payment_Mode],Payment_table[Payment_Mode_ID])</f>
        <v>PM04</v>
      </c>
      <c r="M189" t="s">
        <v>677</v>
      </c>
      <c r="N189" t="s">
        <v>678</v>
      </c>
      <c r="O189" s="3">
        <v>14231</v>
      </c>
      <c r="P189" s="3">
        <v>2561.58</v>
      </c>
      <c r="Q189" s="3">
        <v>16792.580000000002</v>
      </c>
      <c r="R189" t="s">
        <v>116</v>
      </c>
    </row>
    <row r="190" spans="1:18" x14ac:dyDescent="0.3">
      <c r="A190" t="s">
        <v>679</v>
      </c>
      <c r="B190" s="1">
        <v>46072</v>
      </c>
      <c r="C190" s="1" t="s">
        <v>23</v>
      </c>
      <c r="D190" t="str">
        <f>_xlfn.XLOOKUP(C190,Company_table[Company_Name],Company_table[Company_ID])</f>
        <v>C003</v>
      </c>
      <c r="E190" t="s">
        <v>40</v>
      </c>
      <c r="F190" t="str">
        <f>_xlfn.XLOOKUP(E190,Account_table[Account_Name],Account_table[Account_ID])</f>
        <v>A004</v>
      </c>
      <c r="G190" t="s">
        <v>74</v>
      </c>
      <c r="H190" t="str">
        <f>_xlfn.XLOOKUP(G190,Cust_Vend_table[Party_Name],Cust_Vend_table[Party_ID])</f>
        <v>P007</v>
      </c>
      <c r="I190" t="s">
        <v>81</v>
      </c>
      <c r="J190" t="str">
        <f>_xlfn.XLOOKUP(I190,Dept_table[Department_Name],Dept_table[Department_ID])</f>
        <v>D001</v>
      </c>
      <c r="K190" t="s">
        <v>104</v>
      </c>
      <c r="L190" t="str">
        <f>_xlfn.XLOOKUP(K190,Payment_table[Payment_Mode],Payment_table[Payment_Mode_ID])</f>
        <v>PM04</v>
      </c>
      <c r="M190" t="s">
        <v>680</v>
      </c>
      <c r="N190" t="s">
        <v>681</v>
      </c>
      <c r="O190" s="3">
        <v>42730</v>
      </c>
      <c r="P190" s="3">
        <v>7691.4</v>
      </c>
      <c r="Q190" s="3">
        <v>50421.4</v>
      </c>
      <c r="R190" t="s">
        <v>116</v>
      </c>
    </row>
    <row r="191" spans="1:18" x14ac:dyDescent="0.3">
      <c r="A191" t="s">
        <v>682</v>
      </c>
      <c r="B191" s="1">
        <v>45758</v>
      </c>
      <c r="C191" s="1" t="s">
        <v>23</v>
      </c>
      <c r="D191" t="str">
        <f>_xlfn.XLOOKUP(C191,Company_table[Company_Name],Company_table[Company_ID])</f>
        <v>C003</v>
      </c>
      <c r="E191" t="s">
        <v>35</v>
      </c>
      <c r="F191" t="str">
        <f>_xlfn.XLOOKUP(E191,Account_table[Account_Name],Account_table[Account_ID])</f>
        <v>A002</v>
      </c>
      <c r="G191" t="s">
        <v>62</v>
      </c>
      <c r="H191" t="str">
        <f>_xlfn.XLOOKUP(G191,Cust_Vend_table[Party_Name],Cust_Vend_table[Party_ID])</f>
        <v>P003</v>
      </c>
      <c r="I191" t="s">
        <v>93</v>
      </c>
      <c r="J191" t="str">
        <f>_xlfn.XLOOKUP(I191,Dept_table[Department_Name],Dept_table[Department_ID])</f>
        <v>D005</v>
      </c>
      <c r="K191" t="s">
        <v>98</v>
      </c>
      <c r="L191" t="str">
        <f>_xlfn.XLOOKUP(K191,Payment_table[Payment_Mode],Payment_table[Payment_Mode_ID])</f>
        <v>PM01</v>
      </c>
      <c r="M191" t="s">
        <v>683</v>
      </c>
      <c r="N191" t="s">
        <v>684</v>
      </c>
      <c r="O191" s="3">
        <v>8822</v>
      </c>
      <c r="P191" s="3">
        <v>1587.96</v>
      </c>
      <c r="Q191" s="3">
        <v>10409.959999999999</v>
      </c>
      <c r="R191" t="s">
        <v>135</v>
      </c>
    </row>
    <row r="192" spans="1:18" x14ac:dyDescent="0.3">
      <c r="A192" t="s">
        <v>685</v>
      </c>
      <c r="B192" s="1">
        <v>45820</v>
      </c>
      <c r="C192" s="1" t="s">
        <v>19</v>
      </c>
      <c r="D192" t="str">
        <f>_xlfn.XLOOKUP(C192,Company_table[Company_Name],Company_table[Company_ID])</f>
        <v>C002</v>
      </c>
      <c r="E192" t="s">
        <v>40</v>
      </c>
      <c r="F192" t="str">
        <f>_xlfn.XLOOKUP(E192,Account_table[Account_Name],Account_table[Account_ID])</f>
        <v>A004</v>
      </c>
      <c r="G192" t="s">
        <v>72</v>
      </c>
      <c r="H192" t="str">
        <f>_xlfn.XLOOKUP(G192,Cust_Vend_table[Party_Name],Cust_Vend_table[Party_ID])</f>
        <v>P006</v>
      </c>
      <c r="I192" t="s">
        <v>84</v>
      </c>
      <c r="J192" t="str">
        <f>_xlfn.XLOOKUP(I192,Dept_table[Department_Name],Dept_table[Department_ID])</f>
        <v>D002</v>
      </c>
      <c r="K192" t="s">
        <v>102</v>
      </c>
      <c r="L192" t="str">
        <f>_xlfn.XLOOKUP(K192,Payment_table[Payment_Mode],Payment_table[Payment_Mode_ID])</f>
        <v>PM03</v>
      </c>
      <c r="M192" t="s">
        <v>686</v>
      </c>
      <c r="N192" t="s">
        <v>687</v>
      </c>
      <c r="O192" s="3">
        <v>8645</v>
      </c>
      <c r="P192" s="3">
        <v>1556.1</v>
      </c>
      <c r="Q192" s="3">
        <v>10201.1</v>
      </c>
      <c r="R192" t="s">
        <v>116</v>
      </c>
    </row>
    <row r="193" spans="1:18" x14ac:dyDescent="0.3">
      <c r="A193" t="s">
        <v>688</v>
      </c>
      <c r="B193" s="1">
        <v>45945</v>
      </c>
      <c r="C193" s="1" t="s">
        <v>23</v>
      </c>
      <c r="D193" t="str">
        <f>_xlfn.XLOOKUP(C193,Company_table[Company_Name],Company_table[Company_ID])</f>
        <v>C003</v>
      </c>
      <c r="E193" t="s">
        <v>51</v>
      </c>
      <c r="F193" t="str">
        <f>_xlfn.XLOOKUP(E193,Account_table[Account_Name],Account_table[Account_ID])</f>
        <v>A008</v>
      </c>
      <c r="G193" t="s">
        <v>76</v>
      </c>
      <c r="H193" t="str">
        <f>_xlfn.XLOOKUP(G193,Cust_Vend_table[Party_Name],Cust_Vend_table[Party_ID])</f>
        <v>P008</v>
      </c>
      <c r="I193" t="s">
        <v>84</v>
      </c>
      <c r="J193" t="str">
        <f>_xlfn.XLOOKUP(I193,Dept_table[Department_Name],Dept_table[Department_ID])</f>
        <v>D002</v>
      </c>
      <c r="K193" t="s">
        <v>104</v>
      </c>
      <c r="L193" t="str">
        <f>_xlfn.XLOOKUP(K193,Payment_table[Payment_Mode],Payment_table[Payment_Mode_ID])</f>
        <v>PM04</v>
      </c>
      <c r="M193" t="s">
        <v>689</v>
      </c>
      <c r="N193" t="s">
        <v>690</v>
      </c>
      <c r="O193" s="3">
        <v>13269</v>
      </c>
      <c r="P193" s="3">
        <v>2388.42</v>
      </c>
      <c r="Q193" s="3">
        <v>15657.42</v>
      </c>
      <c r="R193" t="s">
        <v>116</v>
      </c>
    </row>
    <row r="194" spans="1:18" x14ac:dyDescent="0.3">
      <c r="A194" t="s">
        <v>691</v>
      </c>
      <c r="B194" s="1">
        <v>45785</v>
      </c>
      <c r="C194" s="1" t="s">
        <v>19</v>
      </c>
      <c r="D194" t="str">
        <f>_xlfn.XLOOKUP(C194,Company_table[Company_Name],Company_table[Company_ID])</f>
        <v>C002</v>
      </c>
      <c r="E194" t="s">
        <v>35</v>
      </c>
      <c r="F194" t="str">
        <f>_xlfn.XLOOKUP(E194,Account_table[Account_Name],Account_table[Account_ID])</f>
        <v>A002</v>
      </c>
      <c r="G194" t="s">
        <v>62</v>
      </c>
      <c r="H194" t="str">
        <f>_xlfn.XLOOKUP(G194,Cust_Vend_table[Party_Name],Cust_Vend_table[Party_ID])</f>
        <v>P003</v>
      </c>
      <c r="I194" t="s">
        <v>81</v>
      </c>
      <c r="J194" t="str">
        <f>_xlfn.XLOOKUP(I194,Dept_table[Department_Name],Dept_table[Department_ID])</f>
        <v>D001</v>
      </c>
      <c r="K194" t="s">
        <v>104</v>
      </c>
      <c r="L194" t="str">
        <f>_xlfn.XLOOKUP(K194,Payment_table[Payment_Mode],Payment_table[Payment_Mode_ID])</f>
        <v>PM04</v>
      </c>
      <c r="M194" t="s">
        <v>692</v>
      </c>
      <c r="N194" t="s">
        <v>693</v>
      </c>
      <c r="O194" s="3">
        <v>48787</v>
      </c>
      <c r="P194" s="3">
        <v>8781.66</v>
      </c>
      <c r="Q194" s="3">
        <v>57568.66</v>
      </c>
      <c r="R194" t="s">
        <v>135</v>
      </c>
    </row>
    <row r="195" spans="1:18" x14ac:dyDescent="0.3">
      <c r="A195" t="s">
        <v>694</v>
      </c>
      <c r="B195" s="1">
        <v>45962</v>
      </c>
      <c r="C195" s="1" t="s">
        <v>23</v>
      </c>
      <c r="D195" t="str">
        <f>_xlfn.XLOOKUP(C195,Company_table[Company_Name],Company_table[Company_ID])</f>
        <v>C003</v>
      </c>
      <c r="E195" t="s">
        <v>37</v>
      </c>
      <c r="F195" t="str">
        <f>_xlfn.XLOOKUP(E195,Account_table[Account_Name],Account_table[Account_ID])</f>
        <v>A003</v>
      </c>
      <c r="G195" t="s">
        <v>57</v>
      </c>
      <c r="H195" t="str">
        <f>_xlfn.XLOOKUP(G195,Cust_Vend_table[Party_Name],Cust_Vend_table[Party_ID])</f>
        <v>P001</v>
      </c>
      <c r="I195" t="s">
        <v>81</v>
      </c>
      <c r="J195" t="str">
        <f>_xlfn.XLOOKUP(I195,Dept_table[Department_Name],Dept_table[Department_ID])</f>
        <v>D001</v>
      </c>
      <c r="K195" t="s">
        <v>104</v>
      </c>
      <c r="L195" t="str">
        <f>_xlfn.XLOOKUP(K195,Payment_table[Payment_Mode],Payment_table[Payment_Mode_ID])</f>
        <v>PM04</v>
      </c>
      <c r="M195" t="s">
        <v>695</v>
      </c>
      <c r="N195" t="s">
        <v>696</v>
      </c>
      <c r="O195" s="3">
        <v>38217</v>
      </c>
      <c r="P195" s="3">
        <v>6879.06</v>
      </c>
      <c r="Q195" s="3">
        <v>45096.06</v>
      </c>
      <c r="R195" t="s">
        <v>135</v>
      </c>
    </row>
    <row r="196" spans="1:18" x14ac:dyDescent="0.3">
      <c r="A196" t="s">
        <v>697</v>
      </c>
      <c r="B196" s="1">
        <v>45932</v>
      </c>
      <c r="C196" s="1" t="s">
        <v>14</v>
      </c>
      <c r="D196" t="str">
        <f>_xlfn.XLOOKUP(C196,Company_table[Company_Name],Company_table[Company_ID])</f>
        <v>C001</v>
      </c>
      <c r="E196" t="s">
        <v>40</v>
      </c>
      <c r="F196" t="str">
        <f>_xlfn.XLOOKUP(E196,Account_table[Account_Name],Account_table[Account_ID])</f>
        <v>A004</v>
      </c>
      <c r="G196" t="s">
        <v>72</v>
      </c>
      <c r="H196" t="str">
        <f>_xlfn.XLOOKUP(G196,Cust_Vend_table[Party_Name],Cust_Vend_table[Party_ID])</f>
        <v>P006</v>
      </c>
      <c r="I196" t="s">
        <v>81</v>
      </c>
      <c r="J196" t="str">
        <f>_xlfn.XLOOKUP(I196,Dept_table[Department_Name],Dept_table[Department_ID])</f>
        <v>D001</v>
      </c>
      <c r="K196" t="s">
        <v>104</v>
      </c>
      <c r="L196" t="str">
        <f>_xlfn.XLOOKUP(K196,Payment_table[Payment_Mode],Payment_table[Payment_Mode_ID])</f>
        <v>PM04</v>
      </c>
      <c r="M196" t="s">
        <v>698</v>
      </c>
      <c r="N196" t="s">
        <v>699</v>
      </c>
      <c r="O196" s="3">
        <v>4656</v>
      </c>
      <c r="P196" s="3">
        <v>838.08</v>
      </c>
      <c r="Q196" s="3">
        <v>5494.08</v>
      </c>
      <c r="R196" t="s">
        <v>116</v>
      </c>
    </row>
    <row r="197" spans="1:18" x14ac:dyDescent="0.3">
      <c r="A197" t="s">
        <v>700</v>
      </c>
      <c r="B197" s="1">
        <v>45717</v>
      </c>
      <c r="C197" s="1" t="s">
        <v>19</v>
      </c>
      <c r="D197" t="str">
        <f>_xlfn.XLOOKUP(C197,Company_table[Company_Name],Company_table[Company_ID])</f>
        <v>C002</v>
      </c>
      <c r="E197" t="s">
        <v>35</v>
      </c>
      <c r="F197" t="str">
        <f>_xlfn.XLOOKUP(E197,Account_table[Account_Name],Account_table[Account_ID])</f>
        <v>A002</v>
      </c>
      <c r="G197" t="s">
        <v>65</v>
      </c>
      <c r="H197" t="str">
        <f>_xlfn.XLOOKUP(G197,Cust_Vend_table[Party_Name],Cust_Vend_table[Party_ID])</f>
        <v>P004</v>
      </c>
      <c r="I197" t="s">
        <v>84</v>
      </c>
      <c r="J197" t="str">
        <f>_xlfn.XLOOKUP(I197,Dept_table[Department_Name],Dept_table[Department_ID])</f>
        <v>D002</v>
      </c>
      <c r="K197" t="s">
        <v>98</v>
      </c>
      <c r="L197" t="str">
        <f>_xlfn.XLOOKUP(K197,Payment_table[Payment_Mode],Payment_table[Payment_Mode_ID])</f>
        <v>PM01</v>
      </c>
      <c r="M197" t="s">
        <v>701</v>
      </c>
      <c r="N197" t="s">
        <v>702</v>
      </c>
      <c r="O197" s="3">
        <v>18453</v>
      </c>
      <c r="P197" s="3">
        <v>3321.54</v>
      </c>
      <c r="Q197" s="3">
        <v>21774.54</v>
      </c>
      <c r="R197" t="s">
        <v>135</v>
      </c>
    </row>
    <row r="198" spans="1:18" x14ac:dyDescent="0.3">
      <c r="A198" t="s">
        <v>703</v>
      </c>
      <c r="B198" s="1">
        <v>45946</v>
      </c>
      <c r="C198" s="1" t="s">
        <v>19</v>
      </c>
      <c r="D198" t="str">
        <f>_xlfn.XLOOKUP(C198,Company_table[Company_Name],Company_table[Company_ID])</f>
        <v>C002</v>
      </c>
      <c r="E198" t="s">
        <v>35</v>
      </c>
      <c r="F198" t="str">
        <f>_xlfn.XLOOKUP(E198,Account_table[Account_Name],Account_table[Account_ID])</f>
        <v>A002</v>
      </c>
      <c r="G198" t="s">
        <v>57</v>
      </c>
      <c r="H198" t="str">
        <f>_xlfn.XLOOKUP(G198,Cust_Vend_table[Party_Name],Cust_Vend_table[Party_ID])</f>
        <v>P001</v>
      </c>
      <c r="I198" t="s">
        <v>87</v>
      </c>
      <c r="J198" t="str">
        <f>_xlfn.XLOOKUP(I198,Dept_table[Department_Name],Dept_table[Department_ID])</f>
        <v>D003</v>
      </c>
      <c r="K198" t="s">
        <v>98</v>
      </c>
      <c r="L198" t="str">
        <f>_xlfn.XLOOKUP(K198,Payment_table[Payment_Mode],Payment_table[Payment_Mode_ID])</f>
        <v>PM01</v>
      </c>
      <c r="M198" t="s">
        <v>704</v>
      </c>
      <c r="N198" t="s">
        <v>705</v>
      </c>
      <c r="O198" s="3">
        <v>43113</v>
      </c>
      <c r="P198" s="3">
        <v>7760.34</v>
      </c>
      <c r="Q198" s="3">
        <v>50873.34</v>
      </c>
      <c r="R198" t="s">
        <v>135</v>
      </c>
    </row>
    <row r="199" spans="1:18" x14ac:dyDescent="0.3">
      <c r="A199" t="s">
        <v>706</v>
      </c>
      <c r="B199" s="1">
        <v>45730</v>
      </c>
      <c r="C199" s="1" t="s">
        <v>14</v>
      </c>
      <c r="D199" t="str">
        <f>_xlfn.XLOOKUP(C199,Company_table[Company_Name],Company_table[Company_ID])</f>
        <v>C001</v>
      </c>
      <c r="E199" t="s">
        <v>40</v>
      </c>
      <c r="F199" t="str">
        <f>_xlfn.XLOOKUP(E199,Account_table[Account_Name],Account_table[Account_ID])</f>
        <v>A004</v>
      </c>
      <c r="G199" t="s">
        <v>74</v>
      </c>
      <c r="H199" t="str">
        <f>_xlfn.XLOOKUP(G199,Cust_Vend_table[Party_Name],Cust_Vend_table[Party_ID])</f>
        <v>P007</v>
      </c>
      <c r="I199" t="s">
        <v>93</v>
      </c>
      <c r="J199" t="str">
        <f>_xlfn.XLOOKUP(I199,Dept_table[Department_Name],Dept_table[Department_ID])</f>
        <v>D005</v>
      </c>
      <c r="K199" t="s">
        <v>100</v>
      </c>
      <c r="L199" t="str">
        <f>_xlfn.XLOOKUP(K199,Payment_table[Payment_Mode],Payment_table[Payment_Mode_ID])</f>
        <v>PM02</v>
      </c>
      <c r="M199" t="s">
        <v>707</v>
      </c>
      <c r="N199" t="s">
        <v>708</v>
      </c>
      <c r="O199" s="3">
        <v>37139</v>
      </c>
      <c r="P199" s="3">
        <v>6685.02</v>
      </c>
      <c r="Q199" s="3">
        <v>43824.02</v>
      </c>
      <c r="R199" t="s">
        <v>116</v>
      </c>
    </row>
    <row r="200" spans="1:18" x14ac:dyDescent="0.3">
      <c r="A200" t="s">
        <v>709</v>
      </c>
      <c r="B200" s="1">
        <v>45932</v>
      </c>
      <c r="C200" s="1" t="s">
        <v>19</v>
      </c>
      <c r="D200" t="str">
        <f>_xlfn.XLOOKUP(C200,Company_table[Company_Name],Company_table[Company_ID])</f>
        <v>C002</v>
      </c>
      <c r="E200" t="s">
        <v>37</v>
      </c>
      <c r="F200" t="str">
        <f>_xlfn.XLOOKUP(E200,Account_table[Account_Name],Account_table[Account_ID])</f>
        <v>A003</v>
      </c>
      <c r="G200" t="s">
        <v>65</v>
      </c>
      <c r="H200" t="str">
        <f>_xlfn.XLOOKUP(G200,Cust_Vend_table[Party_Name],Cust_Vend_table[Party_ID])</f>
        <v>P004</v>
      </c>
      <c r="I200" t="s">
        <v>84</v>
      </c>
      <c r="J200" t="str">
        <f>_xlfn.XLOOKUP(I200,Dept_table[Department_Name],Dept_table[Department_ID])</f>
        <v>D002</v>
      </c>
      <c r="K200" t="s">
        <v>104</v>
      </c>
      <c r="L200" t="str">
        <f>_xlfn.XLOOKUP(K200,Payment_table[Payment_Mode],Payment_table[Payment_Mode_ID])</f>
        <v>PM04</v>
      </c>
      <c r="M200" t="s">
        <v>710</v>
      </c>
      <c r="N200" t="s">
        <v>711</v>
      </c>
      <c r="O200" s="3">
        <v>19417</v>
      </c>
      <c r="P200" s="3">
        <v>3495.06</v>
      </c>
      <c r="Q200" s="3">
        <v>22912.06</v>
      </c>
      <c r="R200" t="s">
        <v>135</v>
      </c>
    </row>
    <row r="201" spans="1:18" x14ac:dyDescent="0.3">
      <c r="A201" t="s">
        <v>712</v>
      </c>
      <c r="B201" s="1">
        <v>45713</v>
      </c>
      <c r="C201" s="1" t="s">
        <v>19</v>
      </c>
      <c r="D201" t="str">
        <f>_xlfn.XLOOKUP(C201,Company_table[Company_Name],Company_table[Company_ID])</f>
        <v>C002</v>
      </c>
      <c r="E201" t="s">
        <v>35</v>
      </c>
      <c r="F201" t="str">
        <f>_xlfn.XLOOKUP(E201,Account_table[Account_Name],Account_table[Account_ID])</f>
        <v>A002</v>
      </c>
      <c r="G201" t="s">
        <v>62</v>
      </c>
      <c r="H201" t="str">
        <f>_xlfn.XLOOKUP(G201,Cust_Vend_table[Party_Name],Cust_Vend_table[Party_ID])</f>
        <v>P003</v>
      </c>
      <c r="I201" t="s">
        <v>87</v>
      </c>
      <c r="J201" t="str">
        <f>_xlfn.XLOOKUP(I201,Dept_table[Department_Name],Dept_table[Department_ID])</f>
        <v>D003</v>
      </c>
      <c r="K201" t="s">
        <v>102</v>
      </c>
      <c r="L201" t="str">
        <f>_xlfn.XLOOKUP(K201,Payment_table[Payment_Mode],Payment_table[Payment_Mode_ID])</f>
        <v>PM03</v>
      </c>
      <c r="M201" t="s">
        <v>713</v>
      </c>
      <c r="N201" t="s">
        <v>714</v>
      </c>
      <c r="O201" s="3">
        <v>8808</v>
      </c>
      <c r="P201" s="3">
        <v>1585.44</v>
      </c>
      <c r="Q201" s="3">
        <v>10393.44</v>
      </c>
      <c r="R201" t="s">
        <v>135</v>
      </c>
    </row>
    <row r="202" spans="1:18" x14ac:dyDescent="0.3">
      <c r="A202" t="s">
        <v>715</v>
      </c>
      <c r="B202" s="1">
        <v>45853</v>
      </c>
      <c r="C202" s="1" t="s">
        <v>14</v>
      </c>
      <c r="D202" t="str">
        <f>_xlfn.XLOOKUP(C202,Company_table[Company_Name],Company_table[Company_ID])</f>
        <v>C001</v>
      </c>
      <c r="E202" t="s">
        <v>35</v>
      </c>
      <c r="F202" t="str">
        <f>_xlfn.XLOOKUP(E202,Account_table[Account_Name],Account_table[Account_ID])</f>
        <v>A002</v>
      </c>
      <c r="G202" t="s">
        <v>57</v>
      </c>
      <c r="H202" t="str">
        <f>_xlfn.XLOOKUP(G202,Cust_Vend_table[Party_Name],Cust_Vend_table[Party_ID])</f>
        <v>P001</v>
      </c>
      <c r="I202" t="s">
        <v>87</v>
      </c>
      <c r="J202" t="str">
        <f>_xlfn.XLOOKUP(I202,Dept_table[Department_Name],Dept_table[Department_ID])</f>
        <v>D003</v>
      </c>
      <c r="K202" t="s">
        <v>104</v>
      </c>
      <c r="L202" t="str">
        <f>_xlfn.XLOOKUP(K202,Payment_table[Payment_Mode],Payment_table[Payment_Mode_ID])</f>
        <v>PM04</v>
      </c>
      <c r="M202" t="s">
        <v>716</v>
      </c>
      <c r="N202" t="s">
        <v>717</v>
      </c>
      <c r="O202" s="3">
        <v>44174</v>
      </c>
      <c r="P202" s="3">
        <v>7951.32</v>
      </c>
      <c r="Q202" s="3">
        <v>52125.32</v>
      </c>
      <c r="R202" t="s">
        <v>135</v>
      </c>
    </row>
    <row r="203" spans="1:18" x14ac:dyDescent="0.3">
      <c r="A203" t="s">
        <v>718</v>
      </c>
      <c r="B203" s="1">
        <v>45846</v>
      </c>
      <c r="C203" s="1" t="s">
        <v>19</v>
      </c>
      <c r="D203" t="str">
        <f>_xlfn.XLOOKUP(C203,Company_table[Company_Name],Company_table[Company_ID])</f>
        <v>C002</v>
      </c>
      <c r="E203" t="s">
        <v>40</v>
      </c>
      <c r="F203" t="str">
        <f>_xlfn.XLOOKUP(E203,Account_table[Account_Name],Account_table[Account_ID])</f>
        <v>A004</v>
      </c>
      <c r="G203" t="s">
        <v>72</v>
      </c>
      <c r="H203" t="str">
        <f>_xlfn.XLOOKUP(G203,Cust_Vend_table[Party_Name],Cust_Vend_table[Party_ID])</f>
        <v>P006</v>
      </c>
      <c r="I203" t="s">
        <v>90</v>
      </c>
      <c r="J203" t="str">
        <f>_xlfn.XLOOKUP(I203,Dept_table[Department_Name],Dept_table[Department_ID])</f>
        <v>D004</v>
      </c>
      <c r="K203" t="s">
        <v>104</v>
      </c>
      <c r="L203" t="str">
        <f>_xlfn.XLOOKUP(K203,Payment_table[Payment_Mode],Payment_table[Payment_Mode_ID])</f>
        <v>PM04</v>
      </c>
      <c r="M203" t="s">
        <v>719</v>
      </c>
      <c r="N203" t="s">
        <v>720</v>
      </c>
      <c r="O203" s="3">
        <v>27582</v>
      </c>
      <c r="P203" s="3">
        <v>4964.76</v>
      </c>
      <c r="Q203" s="3">
        <v>32546.76</v>
      </c>
      <c r="R203" t="s">
        <v>116</v>
      </c>
    </row>
    <row r="204" spans="1:18" x14ac:dyDescent="0.3">
      <c r="A204" t="s">
        <v>721</v>
      </c>
      <c r="B204" s="1">
        <v>45663</v>
      </c>
      <c r="C204" s="1" t="s">
        <v>23</v>
      </c>
      <c r="D204" t="str">
        <f>_xlfn.XLOOKUP(C204,Company_table[Company_Name],Company_table[Company_ID])</f>
        <v>C003</v>
      </c>
      <c r="E204" t="s">
        <v>37</v>
      </c>
      <c r="F204" t="str">
        <f>_xlfn.XLOOKUP(E204,Account_table[Account_Name],Account_table[Account_ID])</f>
        <v>A003</v>
      </c>
      <c r="G204" t="s">
        <v>62</v>
      </c>
      <c r="H204" t="str">
        <f>_xlfn.XLOOKUP(G204,Cust_Vend_table[Party_Name],Cust_Vend_table[Party_ID])</f>
        <v>P003</v>
      </c>
      <c r="I204" t="s">
        <v>93</v>
      </c>
      <c r="J204" t="str">
        <f>_xlfn.XLOOKUP(I204,Dept_table[Department_Name],Dept_table[Department_ID])</f>
        <v>D005</v>
      </c>
      <c r="K204" t="s">
        <v>98</v>
      </c>
      <c r="L204" t="str">
        <f>_xlfn.XLOOKUP(K204,Payment_table[Payment_Mode],Payment_table[Payment_Mode_ID])</f>
        <v>PM01</v>
      </c>
      <c r="M204" t="s">
        <v>722</v>
      </c>
      <c r="N204" t="s">
        <v>723</v>
      </c>
      <c r="O204" s="3">
        <v>6431</v>
      </c>
      <c r="P204" s="3">
        <v>1157.58</v>
      </c>
      <c r="Q204" s="3">
        <v>7588.58</v>
      </c>
      <c r="R204" t="s">
        <v>135</v>
      </c>
    </row>
    <row r="205" spans="1:18" x14ac:dyDescent="0.3">
      <c r="A205" t="s">
        <v>724</v>
      </c>
      <c r="B205" s="1">
        <v>45972</v>
      </c>
      <c r="C205" s="1" t="s">
        <v>23</v>
      </c>
      <c r="D205" t="str">
        <f>_xlfn.XLOOKUP(C205,Company_table[Company_Name],Company_table[Company_ID])</f>
        <v>C003</v>
      </c>
      <c r="E205" t="s">
        <v>37</v>
      </c>
      <c r="F205" t="str">
        <f>_xlfn.XLOOKUP(E205,Account_table[Account_Name],Account_table[Account_ID])</f>
        <v>A003</v>
      </c>
      <c r="G205" t="s">
        <v>60</v>
      </c>
      <c r="H205" t="str">
        <f>_xlfn.XLOOKUP(G205,Cust_Vend_table[Party_Name],Cust_Vend_table[Party_ID])</f>
        <v>P002</v>
      </c>
      <c r="I205" t="s">
        <v>90</v>
      </c>
      <c r="J205" t="str">
        <f>_xlfn.XLOOKUP(I205,Dept_table[Department_Name],Dept_table[Department_ID])</f>
        <v>D004</v>
      </c>
      <c r="K205" t="s">
        <v>100</v>
      </c>
      <c r="L205" t="str">
        <f>_xlfn.XLOOKUP(K205,Payment_table[Payment_Mode],Payment_table[Payment_Mode_ID])</f>
        <v>PM02</v>
      </c>
      <c r="M205" t="s">
        <v>725</v>
      </c>
      <c r="N205" t="s">
        <v>726</v>
      </c>
      <c r="O205" s="3">
        <v>28345</v>
      </c>
      <c r="P205" s="3">
        <v>5102.1000000000004</v>
      </c>
      <c r="Q205" s="3">
        <v>33447.1</v>
      </c>
      <c r="R205" t="s">
        <v>135</v>
      </c>
    </row>
    <row r="206" spans="1:18" x14ac:dyDescent="0.3">
      <c r="A206" t="s">
        <v>727</v>
      </c>
      <c r="B206" s="1">
        <v>45700</v>
      </c>
      <c r="C206" s="1" t="s">
        <v>23</v>
      </c>
      <c r="D206" t="str">
        <f>_xlfn.XLOOKUP(C206,Company_table[Company_Name],Company_table[Company_ID])</f>
        <v>C003</v>
      </c>
      <c r="E206" t="s">
        <v>31</v>
      </c>
      <c r="F206" t="str">
        <f>_xlfn.XLOOKUP(E206,Account_table[Account_Name],Account_table[Account_ID])</f>
        <v>A001</v>
      </c>
      <c r="G206" t="s">
        <v>65</v>
      </c>
      <c r="H206" t="str">
        <f>_xlfn.XLOOKUP(G206,Cust_Vend_table[Party_Name],Cust_Vend_table[Party_ID])</f>
        <v>P004</v>
      </c>
      <c r="I206" t="s">
        <v>90</v>
      </c>
      <c r="J206" t="str">
        <f>_xlfn.XLOOKUP(I206,Dept_table[Department_Name],Dept_table[Department_ID])</f>
        <v>D004</v>
      </c>
      <c r="K206" t="s">
        <v>98</v>
      </c>
      <c r="L206" t="str">
        <f>_xlfn.XLOOKUP(K206,Payment_table[Payment_Mode],Payment_table[Payment_Mode_ID])</f>
        <v>PM01</v>
      </c>
      <c r="M206" t="s">
        <v>728</v>
      </c>
      <c r="N206" t="s">
        <v>729</v>
      </c>
      <c r="O206" s="3">
        <v>35019</v>
      </c>
      <c r="P206" s="3">
        <v>6303.42</v>
      </c>
      <c r="Q206" s="3">
        <v>41322.42</v>
      </c>
      <c r="R206" t="s">
        <v>135</v>
      </c>
    </row>
    <row r="207" spans="1:18" x14ac:dyDescent="0.3">
      <c r="A207" t="s">
        <v>730</v>
      </c>
      <c r="B207" s="1">
        <v>45805</v>
      </c>
      <c r="C207" s="1" t="s">
        <v>23</v>
      </c>
      <c r="D207" t="str">
        <f>_xlfn.XLOOKUP(C207,Company_table[Company_Name],Company_table[Company_ID])</f>
        <v>C003</v>
      </c>
      <c r="E207" t="s">
        <v>31</v>
      </c>
      <c r="F207" t="str">
        <f>_xlfn.XLOOKUP(E207,Account_table[Account_Name],Account_table[Account_ID])</f>
        <v>A001</v>
      </c>
      <c r="G207" t="s">
        <v>57</v>
      </c>
      <c r="H207" t="str">
        <f>_xlfn.XLOOKUP(G207,Cust_Vend_table[Party_Name],Cust_Vend_table[Party_ID])</f>
        <v>P001</v>
      </c>
      <c r="I207" t="s">
        <v>87</v>
      </c>
      <c r="J207" t="str">
        <f>_xlfn.XLOOKUP(I207,Dept_table[Department_Name],Dept_table[Department_ID])</f>
        <v>D003</v>
      </c>
      <c r="K207" t="s">
        <v>104</v>
      </c>
      <c r="L207" t="str">
        <f>_xlfn.XLOOKUP(K207,Payment_table[Payment_Mode],Payment_table[Payment_Mode_ID])</f>
        <v>PM04</v>
      </c>
      <c r="M207" t="s">
        <v>731</v>
      </c>
      <c r="N207" t="s">
        <v>732</v>
      </c>
      <c r="O207" s="3">
        <v>29958</v>
      </c>
      <c r="P207" s="3">
        <v>5392.44</v>
      </c>
      <c r="Q207" s="3">
        <v>35350.44</v>
      </c>
      <c r="R207" t="s">
        <v>135</v>
      </c>
    </row>
    <row r="208" spans="1:18" x14ac:dyDescent="0.3">
      <c r="A208" t="s">
        <v>733</v>
      </c>
      <c r="B208" s="1">
        <v>45966</v>
      </c>
      <c r="C208" s="1" t="s">
        <v>19</v>
      </c>
      <c r="D208" t="str">
        <f>_xlfn.XLOOKUP(C208,Company_table[Company_Name],Company_table[Company_ID])</f>
        <v>C002</v>
      </c>
      <c r="E208" t="s">
        <v>47</v>
      </c>
      <c r="F208" t="str">
        <f>_xlfn.XLOOKUP(E208,Account_table[Account_Name],Account_table[Account_ID])</f>
        <v>A006</v>
      </c>
      <c r="G208" t="s">
        <v>72</v>
      </c>
      <c r="H208" t="str">
        <f>_xlfn.XLOOKUP(G208,Cust_Vend_table[Party_Name],Cust_Vend_table[Party_ID])</f>
        <v>P006</v>
      </c>
      <c r="I208" t="s">
        <v>90</v>
      </c>
      <c r="J208" t="str">
        <f>_xlfn.XLOOKUP(I208,Dept_table[Department_Name],Dept_table[Department_ID])</f>
        <v>D004</v>
      </c>
      <c r="K208" t="s">
        <v>98</v>
      </c>
      <c r="L208" t="str">
        <f>_xlfn.XLOOKUP(K208,Payment_table[Payment_Mode],Payment_table[Payment_Mode_ID])</f>
        <v>PM01</v>
      </c>
      <c r="M208" t="s">
        <v>734</v>
      </c>
      <c r="N208" t="s">
        <v>735</v>
      </c>
      <c r="O208" s="3">
        <v>23596</v>
      </c>
      <c r="P208" s="3">
        <v>4247.28</v>
      </c>
      <c r="Q208" s="3">
        <v>27843.279999999999</v>
      </c>
      <c r="R208" t="s">
        <v>116</v>
      </c>
    </row>
    <row r="209" spans="1:18" x14ac:dyDescent="0.3">
      <c r="A209" t="s">
        <v>736</v>
      </c>
      <c r="B209" s="1">
        <v>45725</v>
      </c>
      <c r="C209" s="1" t="s">
        <v>19</v>
      </c>
      <c r="D209" t="str">
        <f>_xlfn.XLOOKUP(C209,Company_table[Company_Name],Company_table[Company_ID])</f>
        <v>C002</v>
      </c>
      <c r="E209" t="s">
        <v>49</v>
      </c>
      <c r="F209" t="str">
        <f>_xlfn.XLOOKUP(E209,Account_table[Account_Name],Account_table[Account_ID])</f>
        <v>A007</v>
      </c>
      <c r="G209" t="s">
        <v>74</v>
      </c>
      <c r="H209" t="str">
        <f>_xlfn.XLOOKUP(G209,Cust_Vend_table[Party_Name],Cust_Vend_table[Party_ID])</f>
        <v>P007</v>
      </c>
      <c r="I209" t="s">
        <v>93</v>
      </c>
      <c r="J209" t="str">
        <f>_xlfn.XLOOKUP(I209,Dept_table[Department_Name],Dept_table[Department_ID])</f>
        <v>D005</v>
      </c>
      <c r="K209" t="s">
        <v>98</v>
      </c>
      <c r="L209" t="str">
        <f>_xlfn.XLOOKUP(K209,Payment_table[Payment_Mode],Payment_table[Payment_Mode_ID])</f>
        <v>PM01</v>
      </c>
      <c r="M209" t="s">
        <v>737</v>
      </c>
      <c r="N209" t="s">
        <v>738</v>
      </c>
      <c r="O209" s="3">
        <v>35282</v>
      </c>
      <c r="P209" s="3">
        <v>6350.76</v>
      </c>
      <c r="Q209" s="3">
        <v>41632.76</v>
      </c>
      <c r="R209" t="s">
        <v>116</v>
      </c>
    </row>
    <row r="210" spans="1:18" x14ac:dyDescent="0.3">
      <c r="A210" t="s">
        <v>739</v>
      </c>
      <c r="B210" s="1">
        <v>45836</v>
      </c>
      <c r="C210" s="1" t="s">
        <v>14</v>
      </c>
      <c r="D210" t="str">
        <f>_xlfn.XLOOKUP(C210,Company_table[Company_Name],Company_table[Company_ID])</f>
        <v>C001</v>
      </c>
      <c r="E210" t="s">
        <v>37</v>
      </c>
      <c r="F210" t="str">
        <f>_xlfn.XLOOKUP(E210,Account_table[Account_Name],Account_table[Account_ID])</f>
        <v>A003</v>
      </c>
      <c r="G210" t="s">
        <v>57</v>
      </c>
      <c r="H210" t="str">
        <f>_xlfn.XLOOKUP(G210,Cust_Vend_table[Party_Name],Cust_Vend_table[Party_ID])</f>
        <v>P001</v>
      </c>
      <c r="I210" t="s">
        <v>90</v>
      </c>
      <c r="J210" t="str">
        <f>_xlfn.XLOOKUP(I210,Dept_table[Department_Name],Dept_table[Department_ID])</f>
        <v>D004</v>
      </c>
      <c r="K210" t="s">
        <v>102</v>
      </c>
      <c r="L210" t="str">
        <f>_xlfn.XLOOKUP(K210,Payment_table[Payment_Mode],Payment_table[Payment_Mode_ID])</f>
        <v>PM03</v>
      </c>
      <c r="M210" t="s">
        <v>740</v>
      </c>
      <c r="N210" t="s">
        <v>741</v>
      </c>
      <c r="O210" s="3">
        <v>36494</v>
      </c>
      <c r="P210" s="3">
        <v>6568.92</v>
      </c>
      <c r="Q210" s="3">
        <v>43062.92</v>
      </c>
      <c r="R210" t="s">
        <v>135</v>
      </c>
    </row>
    <row r="211" spans="1:18" x14ac:dyDescent="0.3">
      <c r="A211" t="s">
        <v>742</v>
      </c>
      <c r="B211" s="1">
        <v>45723</v>
      </c>
      <c r="C211" s="1" t="s">
        <v>19</v>
      </c>
      <c r="D211" t="str">
        <f>_xlfn.XLOOKUP(C211,Company_table[Company_Name],Company_table[Company_ID])</f>
        <v>C002</v>
      </c>
      <c r="E211" t="s">
        <v>31</v>
      </c>
      <c r="F211" t="str">
        <f>_xlfn.XLOOKUP(E211,Account_table[Account_Name],Account_table[Account_ID])</f>
        <v>A001</v>
      </c>
      <c r="G211" t="s">
        <v>60</v>
      </c>
      <c r="H211" t="str">
        <f>_xlfn.XLOOKUP(G211,Cust_Vend_table[Party_Name],Cust_Vend_table[Party_ID])</f>
        <v>P002</v>
      </c>
      <c r="I211" t="s">
        <v>93</v>
      </c>
      <c r="J211" t="str">
        <f>_xlfn.XLOOKUP(I211,Dept_table[Department_Name],Dept_table[Department_ID])</f>
        <v>D005</v>
      </c>
      <c r="K211" t="s">
        <v>98</v>
      </c>
      <c r="L211" t="str">
        <f>_xlfn.XLOOKUP(K211,Payment_table[Payment_Mode],Payment_table[Payment_Mode_ID])</f>
        <v>PM01</v>
      </c>
      <c r="M211" t="s">
        <v>743</v>
      </c>
      <c r="N211" t="s">
        <v>744</v>
      </c>
      <c r="O211" s="3">
        <v>26352</v>
      </c>
      <c r="P211" s="3">
        <v>4743.3599999999997</v>
      </c>
      <c r="Q211" s="3">
        <v>31095.360000000001</v>
      </c>
      <c r="R211" t="s">
        <v>135</v>
      </c>
    </row>
    <row r="212" spans="1:18" x14ac:dyDescent="0.3">
      <c r="A212" t="s">
        <v>745</v>
      </c>
      <c r="B212" s="1">
        <v>45779</v>
      </c>
      <c r="C212" s="1" t="s">
        <v>23</v>
      </c>
      <c r="D212" t="str">
        <f>_xlfn.XLOOKUP(C212,Company_table[Company_Name],Company_table[Company_ID])</f>
        <v>C003</v>
      </c>
      <c r="E212" t="s">
        <v>40</v>
      </c>
      <c r="F212" t="str">
        <f>_xlfn.XLOOKUP(E212,Account_table[Account_Name],Account_table[Account_ID])</f>
        <v>A004</v>
      </c>
      <c r="G212" t="s">
        <v>74</v>
      </c>
      <c r="H212" t="str">
        <f>_xlfn.XLOOKUP(G212,Cust_Vend_table[Party_Name],Cust_Vend_table[Party_ID])</f>
        <v>P007</v>
      </c>
      <c r="I212" t="s">
        <v>84</v>
      </c>
      <c r="J212" t="str">
        <f>_xlfn.XLOOKUP(I212,Dept_table[Department_Name],Dept_table[Department_ID])</f>
        <v>D002</v>
      </c>
      <c r="K212" t="s">
        <v>102</v>
      </c>
      <c r="L212" t="str">
        <f>_xlfn.XLOOKUP(K212,Payment_table[Payment_Mode],Payment_table[Payment_Mode_ID])</f>
        <v>PM03</v>
      </c>
      <c r="M212" t="s">
        <v>746</v>
      </c>
      <c r="N212" t="s">
        <v>747</v>
      </c>
      <c r="O212" s="3">
        <v>24326</v>
      </c>
      <c r="P212" s="3">
        <v>4378.68</v>
      </c>
      <c r="Q212" s="3">
        <v>28704.68</v>
      </c>
      <c r="R212" t="s">
        <v>116</v>
      </c>
    </row>
    <row r="213" spans="1:18" x14ac:dyDescent="0.3">
      <c r="A213" t="s">
        <v>748</v>
      </c>
      <c r="B213" s="1">
        <v>45898</v>
      </c>
      <c r="C213" s="1" t="s">
        <v>23</v>
      </c>
      <c r="D213" t="str">
        <f>_xlfn.XLOOKUP(C213,Company_table[Company_Name],Company_table[Company_ID])</f>
        <v>C003</v>
      </c>
      <c r="E213" t="s">
        <v>47</v>
      </c>
      <c r="F213" t="str">
        <f>_xlfn.XLOOKUP(E213,Account_table[Account_Name],Account_table[Account_ID])</f>
        <v>A006</v>
      </c>
      <c r="G213" t="s">
        <v>72</v>
      </c>
      <c r="H213" t="str">
        <f>_xlfn.XLOOKUP(G213,Cust_Vend_table[Party_Name],Cust_Vend_table[Party_ID])</f>
        <v>P006</v>
      </c>
      <c r="I213" t="s">
        <v>84</v>
      </c>
      <c r="J213" t="str">
        <f>_xlfn.XLOOKUP(I213,Dept_table[Department_Name],Dept_table[Department_ID])</f>
        <v>D002</v>
      </c>
      <c r="K213" t="s">
        <v>100</v>
      </c>
      <c r="L213" t="str">
        <f>_xlfn.XLOOKUP(K213,Payment_table[Payment_Mode],Payment_table[Payment_Mode_ID])</f>
        <v>PM02</v>
      </c>
      <c r="M213" t="s">
        <v>749</v>
      </c>
      <c r="N213" t="s">
        <v>750</v>
      </c>
      <c r="O213" s="3">
        <v>44842</v>
      </c>
      <c r="P213" s="3">
        <v>8071.56</v>
      </c>
      <c r="Q213" s="3">
        <v>52913.56</v>
      </c>
      <c r="R213" t="s">
        <v>116</v>
      </c>
    </row>
    <row r="214" spans="1:18" x14ac:dyDescent="0.3">
      <c r="A214" t="s">
        <v>751</v>
      </c>
      <c r="B214" s="1">
        <v>45826</v>
      </c>
      <c r="C214" s="1" t="s">
        <v>14</v>
      </c>
      <c r="D214" t="str">
        <f>_xlfn.XLOOKUP(C214,Company_table[Company_Name],Company_table[Company_ID])</f>
        <v>C001</v>
      </c>
      <c r="E214" t="s">
        <v>35</v>
      </c>
      <c r="F214" t="str">
        <f>_xlfn.XLOOKUP(E214,Account_table[Account_Name],Account_table[Account_ID])</f>
        <v>A002</v>
      </c>
      <c r="G214" t="s">
        <v>65</v>
      </c>
      <c r="H214" t="str">
        <f>_xlfn.XLOOKUP(G214,Cust_Vend_table[Party_Name],Cust_Vend_table[Party_ID])</f>
        <v>P004</v>
      </c>
      <c r="I214" t="s">
        <v>81</v>
      </c>
      <c r="J214" t="str">
        <f>_xlfn.XLOOKUP(I214,Dept_table[Department_Name],Dept_table[Department_ID])</f>
        <v>D001</v>
      </c>
      <c r="K214" t="s">
        <v>100</v>
      </c>
      <c r="L214" t="str">
        <f>_xlfn.XLOOKUP(K214,Payment_table[Payment_Mode],Payment_table[Payment_Mode_ID])</f>
        <v>PM02</v>
      </c>
      <c r="M214" t="s">
        <v>752</v>
      </c>
      <c r="N214" t="s">
        <v>753</v>
      </c>
      <c r="O214" s="3">
        <v>43742</v>
      </c>
      <c r="P214" s="3">
        <v>7873.56</v>
      </c>
      <c r="Q214" s="3">
        <v>51615.56</v>
      </c>
      <c r="R214" t="s">
        <v>135</v>
      </c>
    </row>
    <row r="215" spans="1:18" x14ac:dyDescent="0.3">
      <c r="A215" t="s">
        <v>754</v>
      </c>
      <c r="B215" s="1">
        <v>45857</v>
      </c>
      <c r="C215" s="1" t="s">
        <v>23</v>
      </c>
      <c r="D215" t="str">
        <f>_xlfn.XLOOKUP(C215,Company_table[Company_Name],Company_table[Company_ID])</f>
        <v>C003</v>
      </c>
      <c r="E215" t="s">
        <v>44</v>
      </c>
      <c r="F215" t="str">
        <f>_xlfn.XLOOKUP(E215,Account_table[Account_Name],Account_table[Account_ID])</f>
        <v>A005</v>
      </c>
      <c r="G215" t="s">
        <v>76</v>
      </c>
      <c r="H215" t="str">
        <f>_xlfn.XLOOKUP(G215,Cust_Vend_table[Party_Name],Cust_Vend_table[Party_ID])</f>
        <v>P008</v>
      </c>
      <c r="I215" t="s">
        <v>90</v>
      </c>
      <c r="J215" t="str">
        <f>_xlfn.XLOOKUP(I215,Dept_table[Department_Name],Dept_table[Department_ID])</f>
        <v>D004</v>
      </c>
      <c r="K215" t="s">
        <v>100</v>
      </c>
      <c r="L215" t="str">
        <f>_xlfn.XLOOKUP(K215,Payment_table[Payment_Mode],Payment_table[Payment_Mode_ID])</f>
        <v>PM02</v>
      </c>
      <c r="M215" t="s">
        <v>755</v>
      </c>
      <c r="N215" t="s">
        <v>756</v>
      </c>
      <c r="O215" s="3">
        <v>19016</v>
      </c>
      <c r="P215" s="3">
        <v>3422.88</v>
      </c>
      <c r="Q215" s="3">
        <v>22438.880000000001</v>
      </c>
      <c r="R215" t="s">
        <v>116</v>
      </c>
    </row>
    <row r="216" spans="1:18" x14ac:dyDescent="0.3">
      <c r="A216" t="s">
        <v>757</v>
      </c>
      <c r="B216" s="1">
        <v>45852</v>
      </c>
      <c r="C216" s="1" t="s">
        <v>14</v>
      </c>
      <c r="D216" t="str">
        <f>_xlfn.XLOOKUP(C216,Company_table[Company_Name],Company_table[Company_ID])</f>
        <v>C001</v>
      </c>
      <c r="E216" t="s">
        <v>40</v>
      </c>
      <c r="F216" t="str">
        <f>_xlfn.XLOOKUP(E216,Account_table[Account_Name],Account_table[Account_ID])</f>
        <v>A004</v>
      </c>
      <c r="G216" t="s">
        <v>76</v>
      </c>
      <c r="H216" t="str">
        <f>_xlfn.XLOOKUP(G216,Cust_Vend_table[Party_Name],Cust_Vend_table[Party_ID])</f>
        <v>P008</v>
      </c>
      <c r="I216" t="s">
        <v>81</v>
      </c>
      <c r="J216" t="str">
        <f>_xlfn.XLOOKUP(I216,Dept_table[Department_Name],Dept_table[Department_ID])</f>
        <v>D001</v>
      </c>
      <c r="K216" t="s">
        <v>102</v>
      </c>
      <c r="L216" t="str">
        <f>_xlfn.XLOOKUP(K216,Payment_table[Payment_Mode],Payment_table[Payment_Mode_ID])</f>
        <v>PM03</v>
      </c>
      <c r="M216" t="s">
        <v>758</v>
      </c>
      <c r="N216" t="s">
        <v>759</v>
      </c>
      <c r="O216" s="3">
        <v>16744</v>
      </c>
      <c r="P216" s="3">
        <v>3013.92</v>
      </c>
      <c r="Q216" s="3">
        <v>19757.919999999998</v>
      </c>
      <c r="R216" t="s">
        <v>116</v>
      </c>
    </row>
    <row r="217" spans="1:18" x14ac:dyDescent="0.3">
      <c r="A217" t="s">
        <v>760</v>
      </c>
      <c r="B217" s="1">
        <v>46016</v>
      </c>
      <c r="C217" s="1" t="s">
        <v>19</v>
      </c>
      <c r="D217" t="str">
        <f>_xlfn.XLOOKUP(C217,Company_table[Company_Name],Company_table[Company_ID])</f>
        <v>C002</v>
      </c>
      <c r="E217" t="s">
        <v>35</v>
      </c>
      <c r="F217" t="str">
        <f>_xlfn.XLOOKUP(E217,Account_table[Account_Name],Account_table[Account_ID])</f>
        <v>A002</v>
      </c>
      <c r="G217" t="s">
        <v>62</v>
      </c>
      <c r="H217" t="str">
        <f>_xlfn.XLOOKUP(G217,Cust_Vend_table[Party_Name],Cust_Vend_table[Party_ID])</f>
        <v>P003</v>
      </c>
      <c r="I217" t="s">
        <v>81</v>
      </c>
      <c r="J217" t="str">
        <f>_xlfn.XLOOKUP(I217,Dept_table[Department_Name],Dept_table[Department_ID])</f>
        <v>D001</v>
      </c>
      <c r="K217" t="s">
        <v>100</v>
      </c>
      <c r="L217" t="str">
        <f>_xlfn.XLOOKUP(K217,Payment_table[Payment_Mode],Payment_table[Payment_Mode_ID])</f>
        <v>PM02</v>
      </c>
      <c r="M217" t="s">
        <v>761</v>
      </c>
      <c r="N217" t="s">
        <v>762</v>
      </c>
      <c r="O217" s="3">
        <v>30780</v>
      </c>
      <c r="P217" s="3">
        <v>5540.4</v>
      </c>
      <c r="Q217" s="3">
        <v>36320.400000000001</v>
      </c>
      <c r="R217" t="s">
        <v>135</v>
      </c>
    </row>
    <row r="218" spans="1:18" x14ac:dyDescent="0.3">
      <c r="A218" t="s">
        <v>763</v>
      </c>
      <c r="B218" s="1">
        <v>45940</v>
      </c>
      <c r="C218" s="1" t="s">
        <v>19</v>
      </c>
      <c r="D218" t="str">
        <f>_xlfn.XLOOKUP(C218,Company_table[Company_Name],Company_table[Company_ID])</f>
        <v>C002</v>
      </c>
      <c r="E218" t="s">
        <v>37</v>
      </c>
      <c r="F218" t="str">
        <f>_xlfn.XLOOKUP(E218,Account_table[Account_Name],Account_table[Account_ID])</f>
        <v>A003</v>
      </c>
      <c r="G218" t="s">
        <v>60</v>
      </c>
      <c r="H218" t="str">
        <f>_xlfn.XLOOKUP(G218,Cust_Vend_table[Party_Name],Cust_Vend_table[Party_ID])</f>
        <v>P002</v>
      </c>
      <c r="I218" t="s">
        <v>81</v>
      </c>
      <c r="J218" t="str">
        <f>_xlfn.XLOOKUP(I218,Dept_table[Department_Name],Dept_table[Department_ID])</f>
        <v>D001</v>
      </c>
      <c r="K218" t="s">
        <v>100</v>
      </c>
      <c r="L218" t="str">
        <f>_xlfn.XLOOKUP(K218,Payment_table[Payment_Mode],Payment_table[Payment_Mode_ID])</f>
        <v>PM02</v>
      </c>
      <c r="M218" t="s">
        <v>764</v>
      </c>
      <c r="N218" t="s">
        <v>765</v>
      </c>
      <c r="O218" s="3">
        <v>20996</v>
      </c>
      <c r="P218" s="3">
        <v>3779.28</v>
      </c>
      <c r="Q218" s="3">
        <v>24775.279999999999</v>
      </c>
      <c r="R218" t="s">
        <v>135</v>
      </c>
    </row>
    <row r="219" spans="1:18" x14ac:dyDescent="0.3">
      <c r="A219" t="s">
        <v>766</v>
      </c>
      <c r="B219" s="1">
        <v>45866</v>
      </c>
      <c r="C219" s="1" t="s">
        <v>19</v>
      </c>
      <c r="D219" t="str">
        <f>_xlfn.XLOOKUP(C219,Company_table[Company_Name],Company_table[Company_ID])</f>
        <v>C002</v>
      </c>
      <c r="E219" t="s">
        <v>49</v>
      </c>
      <c r="F219" t="str">
        <f>_xlfn.XLOOKUP(E219,Account_table[Account_Name],Account_table[Account_ID])</f>
        <v>A007</v>
      </c>
      <c r="G219" t="s">
        <v>76</v>
      </c>
      <c r="H219" t="str">
        <f>_xlfn.XLOOKUP(G219,Cust_Vend_table[Party_Name],Cust_Vend_table[Party_ID])</f>
        <v>P008</v>
      </c>
      <c r="I219" t="s">
        <v>93</v>
      </c>
      <c r="J219" t="str">
        <f>_xlfn.XLOOKUP(I219,Dept_table[Department_Name],Dept_table[Department_ID])</f>
        <v>D005</v>
      </c>
      <c r="K219" t="s">
        <v>98</v>
      </c>
      <c r="L219" t="str">
        <f>_xlfn.XLOOKUP(K219,Payment_table[Payment_Mode],Payment_table[Payment_Mode_ID])</f>
        <v>PM01</v>
      </c>
      <c r="M219" t="s">
        <v>767</v>
      </c>
      <c r="N219" t="s">
        <v>768</v>
      </c>
      <c r="O219" s="3">
        <v>13065</v>
      </c>
      <c r="P219" s="3">
        <v>2351.6999999999998</v>
      </c>
      <c r="Q219" s="3">
        <v>15416.7</v>
      </c>
      <c r="R219" t="s">
        <v>116</v>
      </c>
    </row>
    <row r="220" spans="1:18" x14ac:dyDescent="0.3">
      <c r="A220" t="s">
        <v>769</v>
      </c>
      <c r="B220" s="1">
        <v>45850</v>
      </c>
      <c r="C220" s="1" t="s">
        <v>14</v>
      </c>
      <c r="D220" t="str">
        <f>_xlfn.XLOOKUP(C220,Company_table[Company_Name],Company_table[Company_ID])</f>
        <v>C001</v>
      </c>
      <c r="E220" t="s">
        <v>49</v>
      </c>
      <c r="F220" t="str">
        <f>_xlfn.XLOOKUP(E220,Account_table[Account_Name],Account_table[Account_ID])</f>
        <v>A007</v>
      </c>
      <c r="G220" t="s">
        <v>69</v>
      </c>
      <c r="H220" t="str">
        <f>_xlfn.XLOOKUP(G220,Cust_Vend_table[Party_Name],Cust_Vend_table[Party_ID])</f>
        <v>P005</v>
      </c>
      <c r="I220" t="s">
        <v>93</v>
      </c>
      <c r="J220" t="str">
        <f>_xlfn.XLOOKUP(I220,Dept_table[Department_Name],Dept_table[Department_ID])</f>
        <v>D005</v>
      </c>
      <c r="K220" t="s">
        <v>102</v>
      </c>
      <c r="L220" t="str">
        <f>_xlfn.XLOOKUP(K220,Payment_table[Payment_Mode],Payment_table[Payment_Mode_ID])</f>
        <v>PM03</v>
      </c>
      <c r="M220" t="s">
        <v>770</v>
      </c>
      <c r="N220" t="s">
        <v>771</v>
      </c>
      <c r="O220" s="3">
        <v>45027</v>
      </c>
      <c r="P220" s="3">
        <v>8104.86</v>
      </c>
      <c r="Q220" s="3">
        <v>53131.86</v>
      </c>
      <c r="R220" t="s">
        <v>116</v>
      </c>
    </row>
    <row r="221" spans="1:18" x14ac:dyDescent="0.3">
      <c r="A221" t="s">
        <v>772</v>
      </c>
      <c r="B221" s="1">
        <v>45900</v>
      </c>
      <c r="C221" s="1" t="s">
        <v>14</v>
      </c>
      <c r="D221" t="str">
        <f>_xlfn.XLOOKUP(C221,Company_table[Company_Name],Company_table[Company_ID])</f>
        <v>C001</v>
      </c>
      <c r="E221" t="s">
        <v>40</v>
      </c>
      <c r="F221" t="str">
        <f>_xlfn.XLOOKUP(E221,Account_table[Account_Name],Account_table[Account_ID])</f>
        <v>A004</v>
      </c>
      <c r="G221" t="s">
        <v>69</v>
      </c>
      <c r="H221" t="str">
        <f>_xlfn.XLOOKUP(G221,Cust_Vend_table[Party_Name],Cust_Vend_table[Party_ID])</f>
        <v>P005</v>
      </c>
      <c r="I221" t="s">
        <v>84</v>
      </c>
      <c r="J221" t="str">
        <f>_xlfn.XLOOKUP(I221,Dept_table[Department_Name],Dept_table[Department_ID])</f>
        <v>D002</v>
      </c>
      <c r="K221" t="s">
        <v>98</v>
      </c>
      <c r="L221" t="str">
        <f>_xlfn.XLOOKUP(K221,Payment_table[Payment_Mode],Payment_table[Payment_Mode_ID])</f>
        <v>PM01</v>
      </c>
      <c r="M221" t="s">
        <v>773</v>
      </c>
      <c r="N221" t="s">
        <v>774</v>
      </c>
      <c r="O221" s="3">
        <v>19310</v>
      </c>
      <c r="P221" s="3">
        <v>3475.8</v>
      </c>
      <c r="Q221" s="3">
        <v>22785.8</v>
      </c>
      <c r="R221" t="s">
        <v>116</v>
      </c>
    </row>
    <row r="222" spans="1:18" x14ac:dyDescent="0.3">
      <c r="A222" t="s">
        <v>775</v>
      </c>
      <c r="B222" s="1">
        <v>46029</v>
      </c>
      <c r="C222" s="1" t="s">
        <v>19</v>
      </c>
      <c r="D222" t="str">
        <f>_xlfn.XLOOKUP(C222,Company_table[Company_Name],Company_table[Company_ID])</f>
        <v>C002</v>
      </c>
      <c r="E222" t="s">
        <v>37</v>
      </c>
      <c r="F222" t="str">
        <f>_xlfn.XLOOKUP(E222,Account_table[Account_Name],Account_table[Account_ID])</f>
        <v>A003</v>
      </c>
      <c r="G222" t="s">
        <v>65</v>
      </c>
      <c r="H222" t="str">
        <f>_xlfn.XLOOKUP(G222,Cust_Vend_table[Party_Name],Cust_Vend_table[Party_ID])</f>
        <v>P004</v>
      </c>
      <c r="I222" t="s">
        <v>90</v>
      </c>
      <c r="J222" t="str">
        <f>_xlfn.XLOOKUP(I222,Dept_table[Department_Name],Dept_table[Department_ID])</f>
        <v>D004</v>
      </c>
      <c r="K222" t="s">
        <v>102</v>
      </c>
      <c r="L222" t="str">
        <f>_xlfn.XLOOKUP(K222,Payment_table[Payment_Mode],Payment_table[Payment_Mode_ID])</f>
        <v>PM03</v>
      </c>
      <c r="M222" t="s">
        <v>776</v>
      </c>
      <c r="N222" t="s">
        <v>777</v>
      </c>
      <c r="O222" s="3">
        <v>11356</v>
      </c>
      <c r="P222" s="3">
        <v>2044.08</v>
      </c>
      <c r="Q222" s="3">
        <v>13400.08</v>
      </c>
      <c r="R222" t="s">
        <v>135</v>
      </c>
    </row>
    <row r="223" spans="1:18" x14ac:dyDescent="0.3">
      <c r="A223" t="s">
        <v>778</v>
      </c>
      <c r="B223" s="1">
        <v>45783</v>
      </c>
      <c r="C223" s="1" t="s">
        <v>23</v>
      </c>
      <c r="D223" t="str">
        <f>_xlfn.XLOOKUP(C223,Company_table[Company_Name],Company_table[Company_ID])</f>
        <v>C003</v>
      </c>
      <c r="E223" t="s">
        <v>37</v>
      </c>
      <c r="F223" t="str">
        <f>_xlfn.XLOOKUP(E223,Account_table[Account_Name],Account_table[Account_ID])</f>
        <v>A003</v>
      </c>
      <c r="G223" t="s">
        <v>57</v>
      </c>
      <c r="H223" t="str">
        <f>_xlfn.XLOOKUP(G223,Cust_Vend_table[Party_Name],Cust_Vend_table[Party_ID])</f>
        <v>P001</v>
      </c>
      <c r="I223" t="s">
        <v>87</v>
      </c>
      <c r="J223" t="str">
        <f>_xlfn.XLOOKUP(I223,Dept_table[Department_Name],Dept_table[Department_ID])</f>
        <v>D003</v>
      </c>
      <c r="K223" t="s">
        <v>102</v>
      </c>
      <c r="L223" t="str">
        <f>_xlfn.XLOOKUP(K223,Payment_table[Payment_Mode],Payment_table[Payment_Mode_ID])</f>
        <v>PM03</v>
      </c>
      <c r="M223" t="s">
        <v>779</v>
      </c>
      <c r="N223" t="s">
        <v>780</v>
      </c>
      <c r="O223" s="3">
        <v>29330</v>
      </c>
      <c r="P223" s="3">
        <v>5279.4</v>
      </c>
      <c r="Q223" s="3">
        <v>34609.4</v>
      </c>
      <c r="R223" t="s">
        <v>135</v>
      </c>
    </row>
    <row r="224" spans="1:18" x14ac:dyDescent="0.3">
      <c r="A224" t="s">
        <v>781</v>
      </c>
      <c r="B224" s="1">
        <v>46062</v>
      </c>
      <c r="C224" s="1" t="s">
        <v>23</v>
      </c>
      <c r="D224" t="str">
        <f>_xlfn.XLOOKUP(C224,Company_table[Company_Name],Company_table[Company_ID])</f>
        <v>C003</v>
      </c>
      <c r="E224" t="s">
        <v>44</v>
      </c>
      <c r="F224" t="str">
        <f>_xlfn.XLOOKUP(E224,Account_table[Account_Name],Account_table[Account_ID])</f>
        <v>A005</v>
      </c>
      <c r="G224" t="s">
        <v>74</v>
      </c>
      <c r="H224" t="str">
        <f>_xlfn.XLOOKUP(G224,Cust_Vend_table[Party_Name],Cust_Vend_table[Party_ID])</f>
        <v>P007</v>
      </c>
      <c r="I224" t="s">
        <v>84</v>
      </c>
      <c r="J224" t="str">
        <f>_xlfn.XLOOKUP(I224,Dept_table[Department_Name],Dept_table[Department_ID])</f>
        <v>D002</v>
      </c>
      <c r="K224" t="s">
        <v>98</v>
      </c>
      <c r="L224" t="str">
        <f>_xlfn.XLOOKUP(K224,Payment_table[Payment_Mode],Payment_table[Payment_Mode_ID])</f>
        <v>PM01</v>
      </c>
      <c r="M224" t="s">
        <v>782</v>
      </c>
      <c r="N224" t="s">
        <v>783</v>
      </c>
      <c r="O224" s="3">
        <v>5954</v>
      </c>
      <c r="P224" s="3">
        <v>1071.72</v>
      </c>
      <c r="Q224" s="3">
        <v>7025.72</v>
      </c>
      <c r="R224" t="s">
        <v>116</v>
      </c>
    </row>
    <row r="225" spans="1:18" x14ac:dyDescent="0.3">
      <c r="A225" t="s">
        <v>784</v>
      </c>
      <c r="B225" s="1">
        <v>45909</v>
      </c>
      <c r="C225" s="1" t="s">
        <v>14</v>
      </c>
      <c r="D225" t="str">
        <f>_xlfn.XLOOKUP(C225,Company_table[Company_Name],Company_table[Company_ID])</f>
        <v>C001</v>
      </c>
      <c r="E225" t="s">
        <v>51</v>
      </c>
      <c r="F225" t="str">
        <f>_xlfn.XLOOKUP(E225,Account_table[Account_Name],Account_table[Account_ID])</f>
        <v>A008</v>
      </c>
      <c r="G225" t="s">
        <v>74</v>
      </c>
      <c r="H225" t="str">
        <f>_xlfn.XLOOKUP(G225,Cust_Vend_table[Party_Name],Cust_Vend_table[Party_ID])</f>
        <v>P007</v>
      </c>
      <c r="I225" t="s">
        <v>87</v>
      </c>
      <c r="J225" t="str">
        <f>_xlfn.XLOOKUP(I225,Dept_table[Department_Name],Dept_table[Department_ID])</f>
        <v>D003</v>
      </c>
      <c r="K225" t="s">
        <v>100</v>
      </c>
      <c r="L225" t="str">
        <f>_xlfn.XLOOKUP(K225,Payment_table[Payment_Mode],Payment_table[Payment_Mode_ID])</f>
        <v>PM02</v>
      </c>
      <c r="M225" t="s">
        <v>785</v>
      </c>
      <c r="N225" t="s">
        <v>786</v>
      </c>
      <c r="O225" s="3">
        <v>10025</v>
      </c>
      <c r="P225" s="3">
        <v>1804.5</v>
      </c>
      <c r="Q225" s="3">
        <v>11829.5</v>
      </c>
      <c r="R225" t="s">
        <v>116</v>
      </c>
    </row>
    <row r="226" spans="1:18" x14ac:dyDescent="0.3">
      <c r="A226" t="s">
        <v>787</v>
      </c>
      <c r="B226" s="1">
        <v>45707</v>
      </c>
      <c r="C226" s="1" t="s">
        <v>23</v>
      </c>
      <c r="D226" t="str">
        <f>_xlfn.XLOOKUP(C226,Company_table[Company_Name],Company_table[Company_ID])</f>
        <v>C003</v>
      </c>
      <c r="E226" t="s">
        <v>37</v>
      </c>
      <c r="F226" t="str">
        <f>_xlfn.XLOOKUP(E226,Account_table[Account_Name],Account_table[Account_ID])</f>
        <v>A003</v>
      </c>
      <c r="G226" t="s">
        <v>62</v>
      </c>
      <c r="H226" t="str">
        <f>_xlfn.XLOOKUP(G226,Cust_Vend_table[Party_Name],Cust_Vend_table[Party_ID])</f>
        <v>P003</v>
      </c>
      <c r="I226" t="s">
        <v>93</v>
      </c>
      <c r="J226" t="str">
        <f>_xlfn.XLOOKUP(I226,Dept_table[Department_Name],Dept_table[Department_ID])</f>
        <v>D005</v>
      </c>
      <c r="K226" t="s">
        <v>98</v>
      </c>
      <c r="L226" t="str">
        <f>_xlfn.XLOOKUP(K226,Payment_table[Payment_Mode],Payment_table[Payment_Mode_ID])</f>
        <v>PM01</v>
      </c>
      <c r="M226" t="s">
        <v>788</v>
      </c>
      <c r="N226" t="s">
        <v>789</v>
      </c>
      <c r="O226" s="3">
        <v>27850</v>
      </c>
      <c r="P226" s="3">
        <v>5013</v>
      </c>
      <c r="Q226" s="3">
        <v>32863</v>
      </c>
      <c r="R226" t="s">
        <v>135</v>
      </c>
    </row>
    <row r="227" spans="1:18" x14ac:dyDescent="0.3">
      <c r="A227" t="s">
        <v>790</v>
      </c>
      <c r="B227" s="1">
        <v>45794</v>
      </c>
      <c r="C227" s="1" t="s">
        <v>23</v>
      </c>
      <c r="D227" t="str">
        <f>_xlfn.XLOOKUP(C227,Company_table[Company_Name],Company_table[Company_ID])</f>
        <v>C003</v>
      </c>
      <c r="E227" t="s">
        <v>44</v>
      </c>
      <c r="F227" t="str">
        <f>_xlfn.XLOOKUP(E227,Account_table[Account_Name],Account_table[Account_ID])</f>
        <v>A005</v>
      </c>
      <c r="G227" t="s">
        <v>72</v>
      </c>
      <c r="H227" t="str">
        <f>_xlfn.XLOOKUP(G227,Cust_Vend_table[Party_Name],Cust_Vend_table[Party_ID])</f>
        <v>P006</v>
      </c>
      <c r="I227" t="s">
        <v>87</v>
      </c>
      <c r="J227" t="str">
        <f>_xlfn.XLOOKUP(I227,Dept_table[Department_Name],Dept_table[Department_ID])</f>
        <v>D003</v>
      </c>
      <c r="K227" t="s">
        <v>100</v>
      </c>
      <c r="L227" t="str">
        <f>_xlfn.XLOOKUP(K227,Payment_table[Payment_Mode],Payment_table[Payment_Mode_ID])</f>
        <v>PM02</v>
      </c>
      <c r="M227" t="s">
        <v>791</v>
      </c>
      <c r="N227" t="s">
        <v>792</v>
      </c>
      <c r="O227" s="3">
        <v>20440</v>
      </c>
      <c r="P227" s="3">
        <v>3679.2</v>
      </c>
      <c r="Q227" s="3">
        <v>24119.200000000001</v>
      </c>
      <c r="R227" t="s">
        <v>116</v>
      </c>
    </row>
    <row r="228" spans="1:18" x14ac:dyDescent="0.3">
      <c r="A228" t="s">
        <v>793</v>
      </c>
      <c r="B228" s="1">
        <v>45933</v>
      </c>
      <c r="C228" s="1" t="s">
        <v>19</v>
      </c>
      <c r="D228" t="str">
        <f>_xlfn.XLOOKUP(C228,Company_table[Company_Name],Company_table[Company_ID])</f>
        <v>C002</v>
      </c>
      <c r="E228" t="s">
        <v>37</v>
      </c>
      <c r="F228" t="str">
        <f>_xlfn.XLOOKUP(E228,Account_table[Account_Name],Account_table[Account_ID])</f>
        <v>A003</v>
      </c>
      <c r="G228" t="s">
        <v>65</v>
      </c>
      <c r="H228" t="str">
        <f>_xlfn.XLOOKUP(G228,Cust_Vend_table[Party_Name],Cust_Vend_table[Party_ID])</f>
        <v>P004</v>
      </c>
      <c r="I228" t="s">
        <v>84</v>
      </c>
      <c r="J228" t="str">
        <f>_xlfn.XLOOKUP(I228,Dept_table[Department_Name],Dept_table[Department_ID])</f>
        <v>D002</v>
      </c>
      <c r="K228" t="s">
        <v>102</v>
      </c>
      <c r="L228" t="str">
        <f>_xlfn.XLOOKUP(K228,Payment_table[Payment_Mode],Payment_table[Payment_Mode_ID])</f>
        <v>PM03</v>
      </c>
      <c r="M228" t="s">
        <v>794</v>
      </c>
      <c r="N228" t="s">
        <v>795</v>
      </c>
      <c r="O228" s="3">
        <v>24041</v>
      </c>
      <c r="P228" s="3">
        <v>4327.38</v>
      </c>
      <c r="Q228" s="3">
        <v>28368.38</v>
      </c>
      <c r="R228" t="s">
        <v>135</v>
      </c>
    </row>
    <row r="229" spans="1:18" x14ac:dyDescent="0.3">
      <c r="A229" t="s">
        <v>796</v>
      </c>
      <c r="B229" s="1">
        <v>45804</v>
      </c>
      <c r="C229" s="1" t="s">
        <v>23</v>
      </c>
      <c r="D229" t="str">
        <f>_xlfn.XLOOKUP(C229,Company_table[Company_Name],Company_table[Company_ID])</f>
        <v>C003</v>
      </c>
      <c r="E229" t="s">
        <v>37</v>
      </c>
      <c r="F229" t="str">
        <f>_xlfn.XLOOKUP(E229,Account_table[Account_Name],Account_table[Account_ID])</f>
        <v>A003</v>
      </c>
      <c r="G229" t="s">
        <v>57</v>
      </c>
      <c r="H229" t="str">
        <f>_xlfn.XLOOKUP(G229,Cust_Vend_table[Party_Name],Cust_Vend_table[Party_ID])</f>
        <v>P001</v>
      </c>
      <c r="I229" t="s">
        <v>90</v>
      </c>
      <c r="J229" t="str">
        <f>_xlfn.XLOOKUP(I229,Dept_table[Department_Name],Dept_table[Department_ID])</f>
        <v>D004</v>
      </c>
      <c r="K229" t="s">
        <v>98</v>
      </c>
      <c r="L229" t="str">
        <f>_xlfn.XLOOKUP(K229,Payment_table[Payment_Mode],Payment_table[Payment_Mode_ID])</f>
        <v>PM01</v>
      </c>
      <c r="M229" t="s">
        <v>797</v>
      </c>
      <c r="N229" t="s">
        <v>798</v>
      </c>
      <c r="O229" s="3">
        <v>31827</v>
      </c>
      <c r="P229" s="3">
        <v>5728.86</v>
      </c>
      <c r="Q229" s="3">
        <v>37555.86</v>
      </c>
      <c r="R229" t="s">
        <v>135</v>
      </c>
    </row>
    <row r="230" spans="1:18" x14ac:dyDescent="0.3">
      <c r="A230" t="s">
        <v>799</v>
      </c>
      <c r="B230" s="1">
        <v>45817</v>
      </c>
      <c r="C230" s="1" t="s">
        <v>14</v>
      </c>
      <c r="D230" t="str">
        <f>_xlfn.XLOOKUP(C230,Company_table[Company_Name],Company_table[Company_ID])</f>
        <v>C001</v>
      </c>
      <c r="E230" t="s">
        <v>35</v>
      </c>
      <c r="F230" t="str">
        <f>_xlfn.XLOOKUP(E230,Account_table[Account_Name],Account_table[Account_ID])</f>
        <v>A002</v>
      </c>
      <c r="G230" t="s">
        <v>62</v>
      </c>
      <c r="H230" t="str">
        <f>_xlfn.XLOOKUP(G230,Cust_Vend_table[Party_Name],Cust_Vend_table[Party_ID])</f>
        <v>P003</v>
      </c>
      <c r="I230" t="s">
        <v>84</v>
      </c>
      <c r="J230" t="str">
        <f>_xlfn.XLOOKUP(I230,Dept_table[Department_Name],Dept_table[Department_ID])</f>
        <v>D002</v>
      </c>
      <c r="K230" t="s">
        <v>100</v>
      </c>
      <c r="L230" t="str">
        <f>_xlfn.XLOOKUP(K230,Payment_table[Payment_Mode],Payment_table[Payment_Mode_ID])</f>
        <v>PM02</v>
      </c>
      <c r="M230" t="s">
        <v>800</v>
      </c>
      <c r="N230" t="s">
        <v>801</v>
      </c>
      <c r="O230" s="3">
        <v>24541</v>
      </c>
      <c r="P230" s="3">
        <v>4417.38</v>
      </c>
      <c r="Q230" s="3">
        <v>28958.38</v>
      </c>
      <c r="R230" t="s">
        <v>135</v>
      </c>
    </row>
    <row r="231" spans="1:18" x14ac:dyDescent="0.3">
      <c r="A231" t="s">
        <v>802</v>
      </c>
      <c r="B231" s="1">
        <v>45898</v>
      </c>
      <c r="C231" s="1" t="s">
        <v>14</v>
      </c>
      <c r="D231" t="str">
        <f>_xlfn.XLOOKUP(C231,Company_table[Company_Name],Company_table[Company_ID])</f>
        <v>C001</v>
      </c>
      <c r="E231" t="s">
        <v>31</v>
      </c>
      <c r="F231" t="str">
        <f>_xlfn.XLOOKUP(E231,Account_table[Account_Name],Account_table[Account_ID])</f>
        <v>A001</v>
      </c>
      <c r="G231" t="s">
        <v>60</v>
      </c>
      <c r="H231" t="str">
        <f>_xlfn.XLOOKUP(G231,Cust_Vend_table[Party_Name],Cust_Vend_table[Party_ID])</f>
        <v>P002</v>
      </c>
      <c r="I231" t="s">
        <v>90</v>
      </c>
      <c r="J231" t="str">
        <f>_xlfn.XLOOKUP(I231,Dept_table[Department_Name],Dept_table[Department_ID])</f>
        <v>D004</v>
      </c>
      <c r="K231" t="s">
        <v>100</v>
      </c>
      <c r="L231" t="str">
        <f>_xlfn.XLOOKUP(K231,Payment_table[Payment_Mode],Payment_table[Payment_Mode_ID])</f>
        <v>PM02</v>
      </c>
      <c r="M231" t="s">
        <v>803</v>
      </c>
      <c r="N231" t="s">
        <v>804</v>
      </c>
      <c r="O231" s="3">
        <v>30061</v>
      </c>
      <c r="P231" s="3">
        <v>5410.98</v>
      </c>
      <c r="Q231" s="3">
        <v>35471.980000000003</v>
      </c>
      <c r="R231" t="s">
        <v>135</v>
      </c>
    </row>
    <row r="232" spans="1:18" x14ac:dyDescent="0.3">
      <c r="A232" t="s">
        <v>805</v>
      </c>
      <c r="B232" s="1">
        <v>45764</v>
      </c>
      <c r="C232" s="1" t="s">
        <v>19</v>
      </c>
      <c r="D232" t="str">
        <f>_xlfn.XLOOKUP(C232,Company_table[Company_Name],Company_table[Company_ID])</f>
        <v>C002</v>
      </c>
      <c r="E232" t="s">
        <v>51</v>
      </c>
      <c r="F232" t="str">
        <f>_xlfn.XLOOKUP(E232,Account_table[Account_Name],Account_table[Account_ID])</f>
        <v>A008</v>
      </c>
      <c r="G232" t="s">
        <v>69</v>
      </c>
      <c r="H232" t="str">
        <f>_xlfn.XLOOKUP(G232,Cust_Vend_table[Party_Name],Cust_Vend_table[Party_ID])</f>
        <v>P005</v>
      </c>
      <c r="I232" t="s">
        <v>90</v>
      </c>
      <c r="J232" t="str">
        <f>_xlfn.XLOOKUP(I232,Dept_table[Department_Name],Dept_table[Department_ID])</f>
        <v>D004</v>
      </c>
      <c r="K232" t="s">
        <v>104</v>
      </c>
      <c r="L232" t="str">
        <f>_xlfn.XLOOKUP(K232,Payment_table[Payment_Mode],Payment_table[Payment_Mode_ID])</f>
        <v>PM04</v>
      </c>
      <c r="M232" t="s">
        <v>806</v>
      </c>
      <c r="N232" t="s">
        <v>807</v>
      </c>
      <c r="O232" s="3">
        <v>41257</v>
      </c>
      <c r="P232" s="3">
        <v>7426.26</v>
      </c>
      <c r="Q232" s="3">
        <v>48683.26</v>
      </c>
      <c r="R232" t="s">
        <v>116</v>
      </c>
    </row>
    <row r="233" spans="1:18" x14ac:dyDescent="0.3">
      <c r="A233" t="s">
        <v>808</v>
      </c>
      <c r="B233" s="1">
        <v>45944</v>
      </c>
      <c r="C233" s="1" t="s">
        <v>23</v>
      </c>
      <c r="D233" t="str">
        <f>_xlfn.XLOOKUP(C233,Company_table[Company_Name],Company_table[Company_ID])</f>
        <v>C003</v>
      </c>
      <c r="E233" t="s">
        <v>31</v>
      </c>
      <c r="F233" t="str">
        <f>_xlfn.XLOOKUP(E233,Account_table[Account_Name],Account_table[Account_ID])</f>
        <v>A001</v>
      </c>
      <c r="G233" t="s">
        <v>57</v>
      </c>
      <c r="H233" t="str">
        <f>_xlfn.XLOOKUP(G233,Cust_Vend_table[Party_Name],Cust_Vend_table[Party_ID])</f>
        <v>P001</v>
      </c>
      <c r="I233" t="s">
        <v>90</v>
      </c>
      <c r="J233" t="str">
        <f>_xlfn.XLOOKUP(I233,Dept_table[Department_Name],Dept_table[Department_ID])</f>
        <v>D004</v>
      </c>
      <c r="K233" t="s">
        <v>100</v>
      </c>
      <c r="L233" t="str">
        <f>_xlfn.XLOOKUP(K233,Payment_table[Payment_Mode],Payment_table[Payment_Mode_ID])</f>
        <v>PM02</v>
      </c>
      <c r="M233" t="s">
        <v>809</v>
      </c>
      <c r="N233" t="s">
        <v>810</v>
      </c>
      <c r="O233" s="3">
        <v>42310</v>
      </c>
      <c r="P233" s="3">
        <v>7615.8</v>
      </c>
      <c r="Q233" s="3">
        <v>49925.8</v>
      </c>
      <c r="R233" t="s">
        <v>135</v>
      </c>
    </row>
    <row r="234" spans="1:18" x14ac:dyDescent="0.3">
      <c r="A234" t="s">
        <v>811</v>
      </c>
      <c r="B234" s="1">
        <v>46008</v>
      </c>
      <c r="C234" s="1" t="s">
        <v>19</v>
      </c>
      <c r="D234" t="str">
        <f>_xlfn.XLOOKUP(C234,Company_table[Company_Name],Company_table[Company_ID])</f>
        <v>C002</v>
      </c>
      <c r="E234" t="s">
        <v>31</v>
      </c>
      <c r="F234" t="str">
        <f>_xlfn.XLOOKUP(E234,Account_table[Account_Name],Account_table[Account_ID])</f>
        <v>A001</v>
      </c>
      <c r="G234" t="s">
        <v>65</v>
      </c>
      <c r="H234" t="str">
        <f>_xlfn.XLOOKUP(G234,Cust_Vend_table[Party_Name],Cust_Vend_table[Party_ID])</f>
        <v>P004</v>
      </c>
      <c r="I234" t="s">
        <v>84</v>
      </c>
      <c r="J234" t="str">
        <f>_xlfn.XLOOKUP(I234,Dept_table[Department_Name],Dept_table[Department_ID])</f>
        <v>D002</v>
      </c>
      <c r="K234" t="s">
        <v>100</v>
      </c>
      <c r="L234" t="str">
        <f>_xlfn.XLOOKUP(K234,Payment_table[Payment_Mode],Payment_table[Payment_Mode_ID])</f>
        <v>PM02</v>
      </c>
      <c r="M234" t="s">
        <v>812</v>
      </c>
      <c r="N234" t="s">
        <v>813</v>
      </c>
      <c r="O234" s="3">
        <v>20802</v>
      </c>
      <c r="P234" s="3">
        <v>3744.36</v>
      </c>
      <c r="Q234" s="3">
        <v>24546.36</v>
      </c>
      <c r="R234" t="s">
        <v>135</v>
      </c>
    </row>
    <row r="235" spans="1:18" x14ac:dyDescent="0.3">
      <c r="A235" t="s">
        <v>814</v>
      </c>
      <c r="B235" s="1">
        <v>45751</v>
      </c>
      <c r="C235" s="1" t="s">
        <v>19</v>
      </c>
      <c r="D235" t="str">
        <f>_xlfn.XLOOKUP(C235,Company_table[Company_Name],Company_table[Company_ID])</f>
        <v>C002</v>
      </c>
      <c r="E235" t="s">
        <v>49</v>
      </c>
      <c r="F235" t="str">
        <f>_xlfn.XLOOKUP(E235,Account_table[Account_Name],Account_table[Account_ID])</f>
        <v>A007</v>
      </c>
      <c r="G235" t="s">
        <v>74</v>
      </c>
      <c r="H235" t="str">
        <f>_xlfn.XLOOKUP(G235,Cust_Vend_table[Party_Name],Cust_Vend_table[Party_ID])</f>
        <v>P007</v>
      </c>
      <c r="I235" t="s">
        <v>90</v>
      </c>
      <c r="J235" t="str">
        <f>_xlfn.XLOOKUP(I235,Dept_table[Department_Name],Dept_table[Department_ID])</f>
        <v>D004</v>
      </c>
      <c r="K235" t="s">
        <v>100</v>
      </c>
      <c r="L235" t="str">
        <f>_xlfn.XLOOKUP(K235,Payment_table[Payment_Mode],Payment_table[Payment_Mode_ID])</f>
        <v>PM02</v>
      </c>
      <c r="M235" t="s">
        <v>815</v>
      </c>
      <c r="N235" t="s">
        <v>816</v>
      </c>
      <c r="O235" s="3">
        <v>48000</v>
      </c>
      <c r="P235" s="3">
        <v>8640</v>
      </c>
      <c r="Q235" s="3">
        <v>56640</v>
      </c>
      <c r="R235" t="s">
        <v>116</v>
      </c>
    </row>
    <row r="236" spans="1:18" x14ac:dyDescent="0.3">
      <c r="A236" t="s">
        <v>817</v>
      </c>
      <c r="B236" s="1">
        <v>45856</v>
      </c>
      <c r="C236" s="1" t="s">
        <v>19</v>
      </c>
      <c r="D236" t="str">
        <f>_xlfn.XLOOKUP(C236,Company_table[Company_Name],Company_table[Company_ID])</f>
        <v>C002</v>
      </c>
      <c r="E236" t="s">
        <v>47</v>
      </c>
      <c r="F236" t="str">
        <f>_xlfn.XLOOKUP(E236,Account_table[Account_Name],Account_table[Account_ID])</f>
        <v>A006</v>
      </c>
      <c r="G236" t="s">
        <v>76</v>
      </c>
      <c r="H236" t="str">
        <f>_xlfn.XLOOKUP(G236,Cust_Vend_table[Party_Name],Cust_Vend_table[Party_ID])</f>
        <v>P008</v>
      </c>
      <c r="I236" t="s">
        <v>93</v>
      </c>
      <c r="J236" t="str">
        <f>_xlfn.XLOOKUP(I236,Dept_table[Department_Name],Dept_table[Department_ID])</f>
        <v>D005</v>
      </c>
      <c r="K236" t="s">
        <v>98</v>
      </c>
      <c r="L236" t="str">
        <f>_xlfn.XLOOKUP(K236,Payment_table[Payment_Mode],Payment_table[Payment_Mode_ID])</f>
        <v>PM01</v>
      </c>
      <c r="M236" t="s">
        <v>818</v>
      </c>
      <c r="N236" t="s">
        <v>819</v>
      </c>
      <c r="O236" s="3">
        <v>17339</v>
      </c>
      <c r="P236" s="3">
        <v>3121.02</v>
      </c>
      <c r="Q236" s="3">
        <v>20460.02</v>
      </c>
      <c r="R236" t="s">
        <v>116</v>
      </c>
    </row>
    <row r="237" spans="1:18" x14ac:dyDescent="0.3">
      <c r="A237" t="s">
        <v>820</v>
      </c>
      <c r="B237" s="1">
        <v>45759</v>
      </c>
      <c r="C237" s="1" t="s">
        <v>19</v>
      </c>
      <c r="D237" t="str">
        <f>_xlfn.XLOOKUP(C237,Company_table[Company_Name],Company_table[Company_ID])</f>
        <v>C002</v>
      </c>
      <c r="E237" t="s">
        <v>37</v>
      </c>
      <c r="F237" t="str">
        <f>_xlfn.XLOOKUP(E237,Account_table[Account_Name],Account_table[Account_ID])</f>
        <v>A003</v>
      </c>
      <c r="G237" t="s">
        <v>65</v>
      </c>
      <c r="H237" t="str">
        <f>_xlfn.XLOOKUP(G237,Cust_Vend_table[Party_Name],Cust_Vend_table[Party_ID])</f>
        <v>P004</v>
      </c>
      <c r="I237" t="s">
        <v>87</v>
      </c>
      <c r="J237" t="str">
        <f>_xlfn.XLOOKUP(I237,Dept_table[Department_Name],Dept_table[Department_ID])</f>
        <v>D003</v>
      </c>
      <c r="K237" t="s">
        <v>98</v>
      </c>
      <c r="L237" t="str">
        <f>_xlfn.XLOOKUP(K237,Payment_table[Payment_Mode],Payment_table[Payment_Mode_ID])</f>
        <v>PM01</v>
      </c>
      <c r="M237" t="s">
        <v>821</v>
      </c>
      <c r="N237" t="s">
        <v>822</v>
      </c>
      <c r="O237" s="3">
        <v>13329</v>
      </c>
      <c r="P237" s="3">
        <v>2399.2199999999998</v>
      </c>
      <c r="Q237" s="3">
        <v>15728.22</v>
      </c>
      <c r="R237" t="s">
        <v>135</v>
      </c>
    </row>
    <row r="238" spans="1:18" x14ac:dyDescent="0.3">
      <c r="A238" t="s">
        <v>823</v>
      </c>
      <c r="B238" s="1">
        <v>46073</v>
      </c>
      <c r="C238" s="1" t="s">
        <v>19</v>
      </c>
      <c r="D238" t="str">
        <f>_xlfn.XLOOKUP(C238,Company_table[Company_Name],Company_table[Company_ID])</f>
        <v>C002</v>
      </c>
      <c r="E238" t="s">
        <v>51</v>
      </c>
      <c r="F238" t="str">
        <f>_xlfn.XLOOKUP(E238,Account_table[Account_Name],Account_table[Account_ID])</f>
        <v>A008</v>
      </c>
      <c r="G238" t="s">
        <v>76</v>
      </c>
      <c r="H238" t="str">
        <f>_xlfn.XLOOKUP(G238,Cust_Vend_table[Party_Name],Cust_Vend_table[Party_ID])</f>
        <v>P008</v>
      </c>
      <c r="I238" t="s">
        <v>87</v>
      </c>
      <c r="J238" t="str">
        <f>_xlfn.XLOOKUP(I238,Dept_table[Department_Name],Dept_table[Department_ID])</f>
        <v>D003</v>
      </c>
      <c r="K238" t="s">
        <v>104</v>
      </c>
      <c r="L238" t="str">
        <f>_xlfn.XLOOKUP(K238,Payment_table[Payment_Mode],Payment_table[Payment_Mode_ID])</f>
        <v>PM04</v>
      </c>
      <c r="M238" t="s">
        <v>824</v>
      </c>
      <c r="N238" t="s">
        <v>825</v>
      </c>
      <c r="O238" s="3">
        <v>27459</v>
      </c>
      <c r="P238" s="3">
        <v>4942.62</v>
      </c>
      <c r="Q238" s="3">
        <v>32401.62</v>
      </c>
      <c r="R238" t="s">
        <v>116</v>
      </c>
    </row>
    <row r="239" spans="1:18" x14ac:dyDescent="0.3">
      <c r="A239" t="s">
        <v>826</v>
      </c>
      <c r="B239" s="1">
        <v>45992</v>
      </c>
      <c r="C239" s="1" t="s">
        <v>14</v>
      </c>
      <c r="D239" t="str">
        <f>_xlfn.XLOOKUP(C239,Company_table[Company_Name],Company_table[Company_ID])</f>
        <v>C001</v>
      </c>
      <c r="E239" t="s">
        <v>31</v>
      </c>
      <c r="F239" t="str">
        <f>_xlfn.XLOOKUP(E239,Account_table[Account_Name],Account_table[Account_ID])</f>
        <v>A001</v>
      </c>
      <c r="G239" t="s">
        <v>62</v>
      </c>
      <c r="H239" t="str">
        <f>_xlfn.XLOOKUP(G239,Cust_Vend_table[Party_Name],Cust_Vend_table[Party_ID])</f>
        <v>P003</v>
      </c>
      <c r="I239" t="s">
        <v>87</v>
      </c>
      <c r="J239" t="str">
        <f>_xlfn.XLOOKUP(I239,Dept_table[Department_Name],Dept_table[Department_ID])</f>
        <v>D003</v>
      </c>
      <c r="K239" t="s">
        <v>102</v>
      </c>
      <c r="L239" t="str">
        <f>_xlfn.XLOOKUP(K239,Payment_table[Payment_Mode],Payment_table[Payment_Mode_ID])</f>
        <v>PM03</v>
      </c>
      <c r="M239" t="s">
        <v>827</v>
      </c>
      <c r="N239" t="s">
        <v>828</v>
      </c>
      <c r="O239" s="3">
        <v>38663</v>
      </c>
      <c r="P239" s="3">
        <v>6959.34</v>
      </c>
      <c r="Q239" s="3">
        <v>45622.34</v>
      </c>
      <c r="R239" t="s">
        <v>135</v>
      </c>
    </row>
    <row r="240" spans="1:18" x14ac:dyDescent="0.3">
      <c r="A240" t="s">
        <v>829</v>
      </c>
      <c r="B240" s="1">
        <v>45811</v>
      </c>
      <c r="C240" s="1" t="s">
        <v>19</v>
      </c>
      <c r="D240" t="str">
        <f>_xlfn.XLOOKUP(C240,Company_table[Company_Name],Company_table[Company_ID])</f>
        <v>C002</v>
      </c>
      <c r="E240" t="s">
        <v>31</v>
      </c>
      <c r="F240" t="str">
        <f>_xlfn.XLOOKUP(E240,Account_table[Account_Name],Account_table[Account_ID])</f>
        <v>A001</v>
      </c>
      <c r="G240" t="s">
        <v>62</v>
      </c>
      <c r="H240" t="str">
        <f>_xlfn.XLOOKUP(G240,Cust_Vend_table[Party_Name],Cust_Vend_table[Party_ID])</f>
        <v>P003</v>
      </c>
      <c r="I240" t="s">
        <v>90</v>
      </c>
      <c r="J240" t="str">
        <f>_xlfn.XLOOKUP(I240,Dept_table[Department_Name],Dept_table[Department_ID])</f>
        <v>D004</v>
      </c>
      <c r="K240" t="s">
        <v>98</v>
      </c>
      <c r="L240" t="str">
        <f>_xlfn.XLOOKUP(K240,Payment_table[Payment_Mode],Payment_table[Payment_Mode_ID])</f>
        <v>PM01</v>
      </c>
      <c r="M240" t="s">
        <v>830</v>
      </c>
      <c r="N240" t="s">
        <v>831</v>
      </c>
      <c r="O240" s="3">
        <v>39386</v>
      </c>
      <c r="P240" s="3">
        <v>7089.48</v>
      </c>
      <c r="Q240" s="3">
        <v>46475.48</v>
      </c>
      <c r="R240" t="s">
        <v>135</v>
      </c>
    </row>
    <row r="241" spans="1:18" x14ac:dyDescent="0.3">
      <c r="A241" t="s">
        <v>832</v>
      </c>
      <c r="B241" s="1">
        <v>45895</v>
      </c>
      <c r="C241" s="1" t="s">
        <v>19</v>
      </c>
      <c r="D241" t="str">
        <f>_xlfn.XLOOKUP(C241,Company_table[Company_Name],Company_table[Company_ID])</f>
        <v>C002</v>
      </c>
      <c r="E241" t="s">
        <v>31</v>
      </c>
      <c r="F241" t="str">
        <f>_xlfn.XLOOKUP(E241,Account_table[Account_Name],Account_table[Account_ID])</f>
        <v>A001</v>
      </c>
      <c r="G241" t="s">
        <v>60</v>
      </c>
      <c r="H241" t="str">
        <f>_xlfn.XLOOKUP(G241,Cust_Vend_table[Party_Name],Cust_Vend_table[Party_ID])</f>
        <v>P002</v>
      </c>
      <c r="I241" t="s">
        <v>90</v>
      </c>
      <c r="J241" t="str">
        <f>_xlfn.XLOOKUP(I241,Dept_table[Department_Name],Dept_table[Department_ID])</f>
        <v>D004</v>
      </c>
      <c r="K241" t="s">
        <v>102</v>
      </c>
      <c r="L241" t="str">
        <f>_xlfn.XLOOKUP(K241,Payment_table[Payment_Mode],Payment_table[Payment_Mode_ID])</f>
        <v>PM03</v>
      </c>
      <c r="M241" t="s">
        <v>833</v>
      </c>
      <c r="N241" t="s">
        <v>834</v>
      </c>
      <c r="O241" s="3">
        <v>15164</v>
      </c>
      <c r="P241" s="3">
        <v>2729.52</v>
      </c>
      <c r="Q241" s="3">
        <v>17893.52</v>
      </c>
      <c r="R241" t="s">
        <v>135</v>
      </c>
    </row>
    <row r="242" spans="1:18" x14ac:dyDescent="0.3">
      <c r="A242" t="s">
        <v>835</v>
      </c>
      <c r="B242" s="1">
        <v>45695</v>
      </c>
      <c r="C242" s="1" t="s">
        <v>14</v>
      </c>
      <c r="D242" t="str">
        <f>_xlfn.XLOOKUP(C242,Company_table[Company_Name],Company_table[Company_ID])</f>
        <v>C001</v>
      </c>
      <c r="E242" t="s">
        <v>31</v>
      </c>
      <c r="F242" t="str">
        <f>_xlfn.XLOOKUP(E242,Account_table[Account_Name],Account_table[Account_ID])</f>
        <v>A001</v>
      </c>
      <c r="G242" t="s">
        <v>62</v>
      </c>
      <c r="H242" t="str">
        <f>_xlfn.XLOOKUP(G242,Cust_Vend_table[Party_Name],Cust_Vend_table[Party_ID])</f>
        <v>P003</v>
      </c>
      <c r="I242" t="s">
        <v>90</v>
      </c>
      <c r="J242" t="str">
        <f>_xlfn.XLOOKUP(I242,Dept_table[Department_Name],Dept_table[Department_ID])</f>
        <v>D004</v>
      </c>
      <c r="K242" t="s">
        <v>100</v>
      </c>
      <c r="L242" t="str">
        <f>_xlfn.XLOOKUP(K242,Payment_table[Payment_Mode],Payment_table[Payment_Mode_ID])</f>
        <v>PM02</v>
      </c>
      <c r="M242" t="s">
        <v>836</v>
      </c>
      <c r="N242" t="s">
        <v>837</v>
      </c>
      <c r="O242" s="3">
        <v>41789</v>
      </c>
      <c r="P242" s="3">
        <v>7522.02</v>
      </c>
      <c r="Q242" s="3">
        <v>49311.02</v>
      </c>
      <c r="R242" t="s">
        <v>135</v>
      </c>
    </row>
    <row r="243" spans="1:18" x14ac:dyDescent="0.3">
      <c r="A243" t="s">
        <v>838</v>
      </c>
      <c r="B243" s="1">
        <v>46052</v>
      </c>
      <c r="C243" s="1" t="s">
        <v>14</v>
      </c>
      <c r="D243" t="str">
        <f>_xlfn.XLOOKUP(C243,Company_table[Company_Name],Company_table[Company_ID])</f>
        <v>C001</v>
      </c>
      <c r="E243" t="s">
        <v>37</v>
      </c>
      <c r="F243" t="str">
        <f>_xlfn.XLOOKUP(E243,Account_table[Account_Name],Account_table[Account_ID])</f>
        <v>A003</v>
      </c>
      <c r="G243" t="s">
        <v>62</v>
      </c>
      <c r="H243" t="str">
        <f>_xlfn.XLOOKUP(G243,Cust_Vend_table[Party_Name],Cust_Vend_table[Party_ID])</f>
        <v>P003</v>
      </c>
      <c r="I243" t="s">
        <v>93</v>
      </c>
      <c r="J243" t="str">
        <f>_xlfn.XLOOKUP(I243,Dept_table[Department_Name],Dept_table[Department_ID])</f>
        <v>D005</v>
      </c>
      <c r="K243" t="s">
        <v>104</v>
      </c>
      <c r="L243" t="str">
        <f>_xlfn.XLOOKUP(K243,Payment_table[Payment_Mode],Payment_table[Payment_Mode_ID])</f>
        <v>PM04</v>
      </c>
      <c r="M243" t="s">
        <v>839</v>
      </c>
      <c r="N243" t="s">
        <v>840</v>
      </c>
      <c r="O243" s="3">
        <v>45792</v>
      </c>
      <c r="P243" s="3">
        <v>8242.56</v>
      </c>
      <c r="Q243" s="3">
        <v>54034.559999999998</v>
      </c>
      <c r="R243" t="s">
        <v>135</v>
      </c>
    </row>
    <row r="244" spans="1:18" x14ac:dyDescent="0.3">
      <c r="A244" t="s">
        <v>841</v>
      </c>
      <c r="B244" s="1">
        <v>46024</v>
      </c>
      <c r="C244" s="1" t="s">
        <v>19</v>
      </c>
      <c r="D244" t="str">
        <f>_xlfn.XLOOKUP(C244,Company_table[Company_Name],Company_table[Company_ID])</f>
        <v>C002</v>
      </c>
      <c r="E244" t="s">
        <v>35</v>
      </c>
      <c r="F244" t="str">
        <f>_xlfn.XLOOKUP(E244,Account_table[Account_Name],Account_table[Account_ID])</f>
        <v>A002</v>
      </c>
      <c r="G244" t="s">
        <v>65</v>
      </c>
      <c r="H244" t="str">
        <f>_xlfn.XLOOKUP(G244,Cust_Vend_table[Party_Name],Cust_Vend_table[Party_ID])</f>
        <v>P004</v>
      </c>
      <c r="I244" t="s">
        <v>84</v>
      </c>
      <c r="J244" t="str">
        <f>_xlfn.XLOOKUP(I244,Dept_table[Department_Name],Dept_table[Department_ID])</f>
        <v>D002</v>
      </c>
      <c r="K244" t="s">
        <v>100</v>
      </c>
      <c r="L244" t="str">
        <f>_xlfn.XLOOKUP(K244,Payment_table[Payment_Mode],Payment_table[Payment_Mode_ID])</f>
        <v>PM02</v>
      </c>
      <c r="M244" t="s">
        <v>842</v>
      </c>
      <c r="N244" t="s">
        <v>843</v>
      </c>
      <c r="O244" s="3">
        <v>9051</v>
      </c>
      <c r="P244" s="3">
        <v>1629.18</v>
      </c>
      <c r="Q244" s="3">
        <v>10680.18</v>
      </c>
      <c r="R244" t="s">
        <v>135</v>
      </c>
    </row>
    <row r="245" spans="1:18" x14ac:dyDescent="0.3">
      <c r="A245" t="s">
        <v>844</v>
      </c>
      <c r="B245" s="1">
        <v>45984</v>
      </c>
      <c r="C245" s="1" t="s">
        <v>19</v>
      </c>
      <c r="D245" t="str">
        <f>_xlfn.XLOOKUP(C245,Company_table[Company_Name],Company_table[Company_ID])</f>
        <v>C002</v>
      </c>
      <c r="E245" t="s">
        <v>47</v>
      </c>
      <c r="F245" t="str">
        <f>_xlfn.XLOOKUP(E245,Account_table[Account_Name],Account_table[Account_ID])</f>
        <v>A006</v>
      </c>
      <c r="G245" t="s">
        <v>74</v>
      </c>
      <c r="H245" t="str">
        <f>_xlfn.XLOOKUP(G245,Cust_Vend_table[Party_Name],Cust_Vend_table[Party_ID])</f>
        <v>P007</v>
      </c>
      <c r="I245" t="s">
        <v>87</v>
      </c>
      <c r="J245" t="str">
        <f>_xlfn.XLOOKUP(I245,Dept_table[Department_Name],Dept_table[Department_ID])</f>
        <v>D003</v>
      </c>
      <c r="K245" t="s">
        <v>104</v>
      </c>
      <c r="L245" t="str">
        <f>_xlfn.XLOOKUP(K245,Payment_table[Payment_Mode],Payment_table[Payment_Mode_ID])</f>
        <v>PM04</v>
      </c>
      <c r="M245" t="s">
        <v>845</v>
      </c>
      <c r="N245" t="s">
        <v>846</v>
      </c>
      <c r="O245" s="3">
        <v>13897</v>
      </c>
      <c r="P245" s="3">
        <v>2501.46</v>
      </c>
      <c r="Q245" s="3">
        <v>16398.46</v>
      </c>
      <c r="R245" t="s">
        <v>116</v>
      </c>
    </row>
    <row r="246" spans="1:18" x14ac:dyDescent="0.3">
      <c r="A246" t="s">
        <v>847</v>
      </c>
      <c r="B246" s="1">
        <v>45862</v>
      </c>
      <c r="C246" s="1" t="s">
        <v>14</v>
      </c>
      <c r="D246" t="str">
        <f>_xlfn.XLOOKUP(C246,Company_table[Company_Name],Company_table[Company_ID])</f>
        <v>C001</v>
      </c>
      <c r="E246" t="s">
        <v>31</v>
      </c>
      <c r="F246" t="str">
        <f>_xlfn.XLOOKUP(E246,Account_table[Account_Name],Account_table[Account_ID])</f>
        <v>A001</v>
      </c>
      <c r="G246" t="s">
        <v>62</v>
      </c>
      <c r="H246" t="str">
        <f>_xlfn.XLOOKUP(G246,Cust_Vend_table[Party_Name],Cust_Vend_table[Party_ID])</f>
        <v>P003</v>
      </c>
      <c r="I246" t="s">
        <v>81</v>
      </c>
      <c r="J246" t="str">
        <f>_xlfn.XLOOKUP(I246,Dept_table[Department_Name],Dept_table[Department_ID])</f>
        <v>D001</v>
      </c>
      <c r="K246" t="s">
        <v>100</v>
      </c>
      <c r="L246" t="str">
        <f>_xlfn.XLOOKUP(K246,Payment_table[Payment_Mode],Payment_table[Payment_Mode_ID])</f>
        <v>PM02</v>
      </c>
      <c r="M246" t="s">
        <v>848</v>
      </c>
      <c r="N246" t="s">
        <v>849</v>
      </c>
      <c r="O246" s="3">
        <v>22776</v>
      </c>
      <c r="P246" s="3">
        <v>4099.68</v>
      </c>
      <c r="Q246" s="3">
        <v>26875.68</v>
      </c>
      <c r="R246" t="s">
        <v>135</v>
      </c>
    </row>
    <row r="247" spans="1:18" x14ac:dyDescent="0.3">
      <c r="A247" t="s">
        <v>850</v>
      </c>
      <c r="B247" s="1">
        <v>45964</v>
      </c>
      <c r="C247" s="1" t="s">
        <v>19</v>
      </c>
      <c r="D247" t="str">
        <f>_xlfn.XLOOKUP(C247,Company_table[Company_Name],Company_table[Company_ID])</f>
        <v>C002</v>
      </c>
      <c r="E247" t="s">
        <v>31</v>
      </c>
      <c r="F247" t="str">
        <f>_xlfn.XLOOKUP(E247,Account_table[Account_Name],Account_table[Account_ID])</f>
        <v>A001</v>
      </c>
      <c r="G247" t="s">
        <v>62</v>
      </c>
      <c r="H247" t="str">
        <f>_xlfn.XLOOKUP(G247,Cust_Vend_table[Party_Name],Cust_Vend_table[Party_ID])</f>
        <v>P003</v>
      </c>
      <c r="I247" t="s">
        <v>84</v>
      </c>
      <c r="J247" t="str">
        <f>_xlfn.XLOOKUP(I247,Dept_table[Department_Name],Dept_table[Department_ID])</f>
        <v>D002</v>
      </c>
      <c r="K247" t="s">
        <v>100</v>
      </c>
      <c r="L247" t="str">
        <f>_xlfn.XLOOKUP(K247,Payment_table[Payment_Mode],Payment_table[Payment_Mode_ID])</f>
        <v>PM02</v>
      </c>
      <c r="M247" t="s">
        <v>851</v>
      </c>
      <c r="N247" t="s">
        <v>852</v>
      </c>
      <c r="O247" s="3">
        <v>47495</v>
      </c>
      <c r="P247" s="3">
        <v>8549.1</v>
      </c>
      <c r="Q247" s="3">
        <v>56044.1</v>
      </c>
      <c r="R247" t="s">
        <v>135</v>
      </c>
    </row>
    <row r="248" spans="1:18" x14ac:dyDescent="0.3">
      <c r="A248" t="s">
        <v>853</v>
      </c>
      <c r="B248" s="1">
        <v>45842</v>
      </c>
      <c r="C248" s="1" t="s">
        <v>19</v>
      </c>
      <c r="D248" t="str">
        <f>_xlfn.XLOOKUP(C248,Company_table[Company_Name],Company_table[Company_ID])</f>
        <v>C002</v>
      </c>
      <c r="E248" t="s">
        <v>35</v>
      </c>
      <c r="F248" t="str">
        <f>_xlfn.XLOOKUP(E248,Account_table[Account_Name],Account_table[Account_ID])</f>
        <v>A002</v>
      </c>
      <c r="G248" t="s">
        <v>62</v>
      </c>
      <c r="H248" t="str">
        <f>_xlfn.XLOOKUP(G248,Cust_Vend_table[Party_Name],Cust_Vend_table[Party_ID])</f>
        <v>P003</v>
      </c>
      <c r="I248" t="s">
        <v>81</v>
      </c>
      <c r="J248" t="str">
        <f>_xlfn.XLOOKUP(I248,Dept_table[Department_Name],Dept_table[Department_ID])</f>
        <v>D001</v>
      </c>
      <c r="K248" t="s">
        <v>98</v>
      </c>
      <c r="L248" t="str">
        <f>_xlfn.XLOOKUP(K248,Payment_table[Payment_Mode],Payment_table[Payment_Mode_ID])</f>
        <v>PM01</v>
      </c>
      <c r="M248" t="s">
        <v>854</v>
      </c>
      <c r="N248" t="s">
        <v>855</v>
      </c>
      <c r="O248" s="3">
        <v>2040</v>
      </c>
      <c r="P248" s="3">
        <v>367.2</v>
      </c>
      <c r="Q248" s="3">
        <v>2407.1999999999998</v>
      </c>
      <c r="R248" t="s">
        <v>135</v>
      </c>
    </row>
    <row r="249" spans="1:18" x14ac:dyDescent="0.3">
      <c r="A249" t="s">
        <v>856</v>
      </c>
      <c r="B249" s="1">
        <v>45846</v>
      </c>
      <c r="C249" s="1" t="s">
        <v>19</v>
      </c>
      <c r="D249" t="str">
        <f>_xlfn.XLOOKUP(C249,Company_table[Company_Name],Company_table[Company_ID])</f>
        <v>C002</v>
      </c>
      <c r="E249" t="s">
        <v>31</v>
      </c>
      <c r="F249" t="str">
        <f>_xlfn.XLOOKUP(E249,Account_table[Account_Name],Account_table[Account_ID])</f>
        <v>A001</v>
      </c>
      <c r="G249" t="s">
        <v>57</v>
      </c>
      <c r="H249" t="str">
        <f>_xlfn.XLOOKUP(G249,Cust_Vend_table[Party_Name],Cust_Vend_table[Party_ID])</f>
        <v>P001</v>
      </c>
      <c r="I249" t="s">
        <v>84</v>
      </c>
      <c r="J249" t="str">
        <f>_xlfn.XLOOKUP(I249,Dept_table[Department_Name],Dept_table[Department_ID])</f>
        <v>D002</v>
      </c>
      <c r="K249" t="s">
        <v>104</v>
      </c>
      <c r="L249" t="str">
        <f>_xlfn.XLOOKUP(K249,Payment_table[Payment_Mode],Payment_table[Payment_Mode_ID])</f>
        <v>PM04</v>
      </c>
      <c r="M249" t="s">
        <v>857</v>
      </c>
      <c r="N249" t="s">
        <v>858</v>
      </c>
      <c r="O249" s="3">
        <v>46232</v>
      </c>
      <c r="P249" s="3">
        <v>8321.76</v>
      </c>
      <c r="Q249" s="3">
        <v>54553.760000000002</v>
      </c>
      <c r="R249" t="s">
        <v>135</v>
      </c>
    </row>
    <row r="250" spans="1:18" x14ac:dyDescent="0.3">
      <c r="A250" t="s">
        <v>859</v>
      </c>
      <c r="B250" s="1">
        <v>45810</v>
      </c>
      <c r="C250" s="1" t="s">
        <v>19</v>
      </c>
      <c r="D250" t="str">
        <f>_xlfn.XLOOKUP(C250,Company_table[Company_Name],Company_table[Company_ID])</f>
        <v>C002</v>
      </c>
      <c r="E250" t="s">
        <v>31</v>
      </c>
      <c r="F250" t="str">
        <f>_xlfn.XLOOKUP(E250,Account_table[Account_Name],Account_table[Account_ID])</f>
        <v>A001</v>
      </c>
      <c r="G250" t="s">
        <v>62</v>
      </c>
      <c r="H250" t="str">
        <f>_xlfn.XLOOKUP(G250,Cust_Vend_table[Party_Name],Cust_Vend_table[Party_ID])</f>
        <v>P003</v>
      </c>
      <c r="I250" t="s">
        <v>87</v>
      </c>
      <c r="J250" t="str">
        <f>_xlfn.XLOOKUP(I250,Dept_table[Department_Name],Dept_table[Department_ID])</f>
        <v>D003</v>
      </c>
      <c r="K250" t="s">
        <v>104</v>
      </c>
      <c r="L250" t="str">
        <f>_xlfn.XLOOKUP(K250,Payment_table[Payment_Mode],Payment_table[Payment_Mode_ID])</f>
        <v>PM04</v>
      </c>
      <c r="M250" t="s">
        <v>860</v>
      </c>
      <c r="N250" t="s">
        <v>861</v>
      </c>
      <c r="O250" s="3">
        <v>11351</v>
      </c>
      <c r="P250" s="3">
        <v>2043.18</v>
      </c>
      <c r="Q250" s="3">
        <v>13394.18</v>
      </c>
      <c r="R250" t="s">
        <v>135</v>
      </c>
    </row>
    <row r="251" spans="1:18" x14ac:dyDescent="0.3">
      <c r="A251" t="s">
        <v>862</v>
      </c>
      <c r="B251" s="1">
        <v>45906</v>
      </c>
      <c r="C251" s="1" t="s">
        <v>23</v>
      </c>
      <c r="D251" t="str">
        <f>_xlfn.XLOOKUP(C251,Company_table[Company_Name],Company_table[Company_ID])</f>
        <v>C003</v>
      </c>
      <c r="E251" t="s">
        <v>49</v>
      </c>
      <c r="F251" t="str">
        <f>_xlfn.XLOOKUP(E251,Account_table[Account_Name],Account_table[Account_ID])</f>
        <v>A007</v>
      </c>
      <c r="G251" t="s">
        <v>72</v>
      </c>
      <c r="H251" t="str">
        <f>_xlfn.XLOOKUP(G251,Cust_Vend_table[Party_Name],Cust_Vend_table[Party_ID])</f>
        <v>P006</v>
      </c>
      <c r="I251" t="s">
        <v>84</v>
      </c>
      <c r="J251" t="str">
        <f>_xlfn.XLOOKUP(I251,Dept_table[Department_Name],Dept_table[Department_ID])</f>
        <v>D002</v>
      </c>
      <c r="K251" t="s">
        <v>104</v>
      </c>
      <c r="L251" t="str">
        <f>_xlfn.XLOOKUP(K251,Payment_table[Payment_Mode],Payment_table[Payment_Mode_ID])</f>
        <v>PM04</v>
      </c>
      <c r="M251" t="s">
        <v>863</v>
      </c>
      <c r="N251" t="s">
        <v>864</v>
      </c>
      <c r="O251" s="3">
        <v>39850</v>
      </c>
      <c r="P251" s="3">
        <v>7173</v>
      </c>
      <c r="Q251" s="3">
        <v>47023</v>
      </c>
      <c r="R251" t="s">
        <v>116</v>
      </c>
    </row>
    <row r="252" spans="1:18" x14ac:dyDescent="0.3">
      <c r="A252" t="s">
        <v>865</v>
      </c>
      <c r="B252" s="1">
        <v>46071</v>
      </c>
      <c r="C252" s="1" t="s">
        <v>23</v>
      </c>
      <c r="D252" t="str">
        <f>_xlfn.XLOOKUP(C252,Company_table[Company_Name],Company_table[Company_ID])</f>
        <v>C003</v>
      </c>
      <c r="E252" t="s">
        <v>35</v>
      </c>
      <c r="F252" t="str">
        <f>_xlfn.XLOOKUP(E252,Account_table[Account_Name],Account_table[Account_ID])</f>
        <v>A002</v>
      </c>
      <c r="G252" t="s">
        <v>65</v>
      </c>
      <c r="H252" t="str">
        <f>_xlfn.XLOOKUP(G252,Cust_Vend_table[Party_Name],Cust_Vend_table[Party_ID])</f>
        <v>P004</v>
      </c>
      <c r="I252" t="s">
        <v>81</v>
      </c>
      <c r="J252" t="str">
        <f>_xlfn.XLOOKUP(I252,Dept_table[Department_Name],Dept_table[Department_ID])</f>
        <v>D001</v>
      </c>
      <c r="K252" t="s">
        <v>104</v>
      </c>
      <c r="L252" t="str">
        <f>_xlfn.XLOOKUP(K252,Payment_table[Payment_Mode],Payment_table[Payment_Mode_ID])</f>
        <v>PM04</v>
      </c>
      <c r="M252" t="s">
        <v>866</v>
      </c>
      <c r="N252" t="s">
        <v>867</v>
      </c>
      <c r="O252" s="3">
        <v>36085</v>
      </c>
      <c r="P252" s="3">
        <v>6495.3</v>
      </c>
      <c r="Q252" s="3">
        <v>42580.3</v>
      </c>
      <c r="R252" t="s">
        <v>135</v>
      </c>
    </row>
    <row r="253" spans="1:18" x14ac:dyDescent="0.3">
      <c r="A253" t="s">
        <v>868</v>
      </c>
      <c r="B253" s="1">
        <v>45695</v>
      </c>
      <c r="C253" s="1" t="s">
        <v>23</v>
      </c>
      <c r="D253" t="str">
        <f>_xlfn.XLOOKUP(C253,Company_table[Company_Name],Company_table[Company_ID])</f>
        <v>C003</v>
      </c>
      <c r="E253" t="s">
        <v>40</v>
      </c>
      <c r="F253" t="str">
        <f>_xlfn.XLOOKUP(E253,Account_table[Account_Name],Account_table[Account_ID])</f>
        <v>A004</v>
      </c>
      <c r="G253" t="s">
        <v>74</v>
      </c>
      <c r="H253" t="str">
        <f>_xlfn.XLOOKUP(G253,Cust_Vend_table[Party_Name],Cust_Vend_table[Party_ID])</f>
        <v>P007</v>
      </c>
      <c r="I253" t="s">
        <v>81</v>
      </c>
      <c r="J253" t="str">
        <f>_xlfn.XLOOKUP(I253,Dept_table[Department_Name],Dept_table[Department_ID])</f>
        <v>D001</v>
      </c>
      <c r="K253" t="s">
        <v>98</v>
      </c>
      <c r="L253" t="str">
        <f>_xlfn.XLOOKUP(K253,Payment_table[Payment_Mode],Payment_table[Payment_Mode_ID])</f>
        <v>PM01</v>
      </c>
      <c r="M253" t="s">
        <v>869</v>
      </c>
      <c r="N253" t="s">
        <v>870</v>
      </c>
      <c r="O253" s="3">
        <v>2030</v>
      </c>
      <c r="P253" s="3">
        <v>365.4</v>
      </c>
      <c r="Q253" s="3">
        <v>2395.4</v>
      </c>
      <c r="R253" t="s">
        <v>116</v>
      </c>
    </row>
    <row r="254" spans="1:18" x14ac:dyDescent="0.3">
      <c r="A254" t="s">
        <v>871</v>
      </c>
      <c r="B254" s="1">
        <v>45812</v>
      </c>
      <c r="C254" s="1" t="s">
        <v>19</v>
      </c>
      <c r="D254" t="str">
        <f>_xlfn.XLOOKUP(C254,Company_table[Company_Name],Company_table[Company_ID])</f>
        <v>C002</v>
      </c>
      <c r="E254" t="s">
        <v>37</v>
      </c>
      <c r="F254" t="str">
        <f>_xlfn.XLOOKUP(E254,Account_table[Account_Name],Account_table[Account_ID])</f>
        <v>A003</v>
      </c>
      <c r="G254" t="s">
        <v>60</v>
      </c>
      <c r="H254" t="str">
        <f>_xlfn.XLOOKUP(G254,Cust_Vend_table[Party_Name],Cust_Vend_table[Party_ID])</f>
        <v>P002</v>
      </c>
      <c r="I254" t="s">
        <v>87</v>
      </c>
      <c r="J254" t="str">
        <f>_xlfn.XLOOKUP(I254,Dept_table[Department_Name],Dept_table[Department_ID])</f>
        <v>D003</v>
      </c>
      <c r="K254" t="s">
        <v>100</v>
      </c>
      <c r="L254" t="str">
        <f>_xlfn.XLOOKUP(K254,Payment_table[Payment_Mode],Payment_table[Payment_Mode_ID])</f>
        <v>PM02</v>
      </c>
      <c r="M254" t="s">
        <v>872</v>
      </c>
      <c r="N254" t="s">
        <v>873</v>
      </c>
      <c r="O254" s="3">
        <v>46000</v>
      </c>
      <c r="P254" s="3">
        <v>8280</v>
      </c>
      <c r="Q254" s="3">
        <v>54280</v>
      </c>
      <c r="R254" t="s">
        <v>135</v>
      </c>
    </row>
    <row r="255" spans="1:18" x14ac:dyDescent="0.3">
      <c r="A255" t="s">
        <v>874</v>
      </c>
      <c r="B255" s="1">
        <v>45877</v>
      </c>
      <c r="C255" s="1" t="s">
        <v>23</v>
      </c>
      <c r="D255" t="str">
        <f>_xlfn.XLOOKUP(C255,Company_table[Company_Name],Company_table[Company_ID])</f>
        <v>C003</v>
      </c>
      <c r="E255" t="s">
        <v>37</v>
      </c>
      <c r="F255" t="str">
        <f>_xlfn.XLOOKUP(E255,Account_table[Account_Name],Account_table[Account_ID])</f>
        <v>A003</v>
      </c>
      <c r="G255" t="s">
        <v>65</v>
      </c>
      <c r="H255" t="str">
        <f>_xlfn.XLOOKUP(G255,Cust_Vend_table[Party_Name],Cust_Vend_table[Party_ID])</f>
        <v>P004</v>
      </c>
      <c r="I255" t="s">
        <v>93</v>
      </c>
      <c r="J255" t="str">
        <f>_xlfn.XLOOKUP(I255,Dept_table[Department_Name],Dept_table[Department_ID])</f>
        <v>D005</v>
      </c>
      <c r="K255" t="s">
        <v>98</v>
      </c>
      <c r="L255" t="str">
        <f>_xlfn.XLOOKUP(K255,Payment_table[Payment_Mode],Payment_table[Payment_Mode_ID])</f>
        <v>PM01</v>
      </c>
      <c r="M255" t="s">
        <v>875</v>
      </c>
      <c r="N255" t="s">
        <v>876</v>
      </c>
      <c r="O255" s="3">
        <v>16873</v>
      </c>
      <c r="P255" s="3">
        <v>3037.14</v>
      </c>
      <c r="Q255" s="3">
        <v>19910.14</v>
      </c>
      <c r="R255" t="s">
        <v>135</v>
      </c>
    </row>
    <row r="256" spans="1:18" x14ac:dyDescent="0.3">
      <c r="A256" t="s">
        <v>877</v>
      </c>
      <c r="B256" s="1">
        <v>45757</v>
      </c>
      <c r="C256" s="1" t="s">
        <v>14</v>
      </c>
      <c r="D256" t="str">
        <f>_xlfn.XLOOKUP(C256,Company_table[Company_Name],Company_table[Company_ID])</f>
        <v>C001</v>
      </c>
      <c r="E256" t="s">
        <v>40</v>
      </c>
      <c r="F256" t="str">
        <f>_xlfn.XLOOKUP(E256,Account_table[Account_Name],Account_table[Account_ID])</f>
        <v>A004</v>
      </c>
      <c r="G256" t="s">
        <v>69</v>
      </c>
      <c r="H256" t="str">
        <f>_xlfn.XLOOKUP(G256,Cust_Vend_table[Party_Name],Cust_Vend_table[Party_ID])</f>
        <v>P005</v>
      </c>
      <c r="I256" t="s">
        <v>93</v>
      </c>
      <c r="J256" t="str">
        <f>_xlfn.XLOOKUP(I256,Dept_table[Department_Name],Dept_table[Department_ID])</f>
        <v>D005</v>
      </c>
      <c r="K256" t="s">
        <v>104</v>
      </c>
      <c r="L256" t="str">
        <f>_xlfn.XLOOKUP(K256,Payment_table[Payment_Mode],Payment_table[Payment_Mode_ID])</f>
        <v>PM04</v>
      </c>
      <c r="M256" t="s">
        <v>878</v>
      </c>
      <c r="N256" t="s">
        <v>879</v>
      </c>
      <c r="O256" s="3">
        <v>8693</v>
      </c>
      <c r="P256" s="3">
        <v>1564.74</v>
      </c>
      <c r="Q256" s="3">
        <v>10257.74</v>
      </c>
      <c r="R256" t="s">
        <v>116</v>
      </c>
    </row>
    <row r="257" spans="1:18" x14ac:dyDescent="0.3">
      <c r="A257" t="s">
        <v>880</v>
      </c>
      <c r="B257" s="1">
        <v>45929</v>
      </c>
      <c r="C257" s="1" t="s">
        <v>14</v>
      </c>
      <c r="D257" t="str">
        <f>_xlfn.XLOOKUP(C257,Company_table[Company_Name],Company_table[Company_ID])</f>
        <v>C001</v>
      </c>
      <c r="E257" t="s">
        <v>35</v>
      </c>
      <c r="F257" t="str">
        <f>_xlfn.XLOOKUP(E257,Account_table[Account_Name],Account_table[Account_ID])</f>
        <v>A002</v>
      </c>
      <c r="G257" t="s">
        <v>57</v>
      </c>
      <c r="H257" t="str">
        <f>_xlfn.XLOOKUP(G257,Cust_Vend_table[Party_Name],Cust_Vend_table[Party_ID])</f>
        <v>P001</v>
      </c>
      <c r="I257" t="s">
        <v>84</v>
      </c>
      <c r="J257" t="str">
        <f>_xlfn.XLOOKUP(I257,Dept_table[Department_Name],Dept_table[Department_ID])</f>
        <v>D002</v>
      </c>
      <c r="K257" t="s">
        <v>104</v>
      </c>
      <c r="L257" t="str">
        <f>_xlfn.XLOOKUP(K257,Payment_table[Payment_Mode],Payment_table[Payment_Mode_ID])</f>
        <v>PM04</v>
      </c>
      <c r="M257" t="s">
        <v>881</v>
      </c>
      <c r="N257" t="s">
        <v>882</v>
      </c>
      <c r="O257" s="3">
        <v>37527</v>
      </c>
      <c r="P257" s="3">
        <v>6754.86</v>
      </c>
      <c r="Q257" s="3">
        <v>44281.86</v>
      </c>
      <c r="R257" t="s">
        <v>135</v>
      </c>
    </row>
    <row r="258" spans="1:18" x14ac:dyDescent="0.3">
      <c r="A258" t="s">
        <v>883</v>
      </c>
      <c r="B258" s="1">
        <v>45695</v>
      </c>
      <c r="C258" s="1" t="s">
        <v>14</v>
      </c>
      <c r="D258" t="str">
        <f>_xlfn.XLOOKUP(C258,Company_table[Company_Name],Company_table[Company_ID])</f>
        <v>C001</v>
      </c>
      <c r="E258" t="s">
        <v>31</v>
      </c>
      <c r="F258" t="str">
        <f>_xlfn.XLOOKUP(E258,Account_table[Account_Name],Account_table[Account_ID])</f>
        <v>A001</v>
      </c>
      <c r="G258" t="s">
        <v>62</v>
      </c>
      <c r="H258" t="str">
        <f>_xlfn.XLOOKUP(G258,Cust_Vend_table[Party_Name],Cust_Vend_table[Party_ID])</f>
        <v>P003</v>
      </c>
      <c r="I258" t="s">
        <v>81</v>
      </c>
      <c r="J258" t="str">
        <f>_xlfn.XLOOKUP(I258,Dept_table[Department_Name],Dept_table[Department_ID])</f>
        <v>D001</v>
      </c>
      <c r="K258" t="s">
        <v>98</v>
      </c>
      <c r="L258" t="str">
        <f>_xlfn.XLOOKUP(K258,Payment_table[Payment_Mode],Payment_table[Payment_Mode_ID])</f>
        <v>PM01</v>
      </c>
      <c r="M258" t="s">
        <v>884</v>
      </c>
      <c r="N258" t="s">
        <v>885</v>
      </c>
      <c r="O258" s="3">
        <v>35797</v>
      </c>
      <c r="P258" s="3">
        <v>6443.46</v>
      </c>
      <c r="Q258" s="3">
        <v>42240.46</v>
      </c>
      <c r="R258" t="s">
        <v>135</v>
      </c>
    </row>
    <row r="259" spans="1:18" x14ac:dyDescent="0.3">
      <c r="A259" t="s">
        <v>886</v>
      </c>
      <c r="B259" s="1">
        <v>45786</v>
      </c>
      <c r="C259" s="1" t="s">
        <v>23</v>
      </c>
      <c r="D259" t="str">
        <f>_xlfn.XLOOKUP(C259,Company_table[Company_Name],Company_table[Company_ID])</f>
        <v>C003</v>
      </c>
      <c r="E259" t="s">
        <v>44</v>
      </c>
      <c r="F259" t="str">
        <f>_xlfn.XLOOKUP(E259,Account_table[Account_Name],Account_table[Account_ID])</f>
        <v>A005</v>
      </c>
      <c r="G259" t="s">
        <v>74</v>
      </c>
      <c r="H259" t="str">
        <f>_xlfn.XLOOKUP(G259,Cust_Vend_table[Party_Name],Cust_Vend_table[Party_ID])</f>
        <v>P007</v>
      </c>
      <c r="I259" t="s">
        <v>90</v>
      </c>
      <c r="J259" t="str">
        <f>_xlfn.XLOOKUP(I259,Dept_table[Department_Name],Dept_table[Department_ID])</f>
        <v>D004</v>
      </c>
      <c r="K259" t="s">
        <v>98</v>
      </c>
      <c r="L259" t="str">
        <f>_xlfn.XLOOKUP(K259,Payment_table[Payment_Mode],Payment_table[Payment_Mode_ID])</f>
        <v>PM01</v>
      </c>
      <c r="M259" t="s">
        <v>887</v>
      </c>
      <c r="N259" t="s">
        <v>888</v>
      </c>
      <c r="O259" s="3">
        <v>14484</v>
      </c>
      <c r="P259" s="3">
        <v>2607.12</v>
      </c>
      <c r="Q259" s="3">
        <v>17091.12</v>
      </c>
      <c r="R259" t="s">
        <v>116</v>
      </c>
    </row>
    <row r="260" spans="1:18" x14ac:dyDescent="0.3">
      <c r="A260" t="s">
        <v>889</v>
      </c>
      <c r="B260" s="1">
        <v>46023</v>
      </c>
      <c r="C260" s="1" t="s">
        <v>19</v>
      </c>
      <c r="D260" t="str">
        <f>_xlfn.XLOOKUP(C260,Company_table[Company_Name],Company_table[Company_ID])</f>
        <v>C002</v>
      </c>
      <c r="E260" t="s">
        <v>44</v>
      </c>
      <c r="F260" t="str">
        <f>_xlfn.XLOOKUP(E260,Account_table[Account_Name],Account_table[Account_ID])</f>
        <v>A005</v>
      </c>
      <c r="G260" t="s">
        <v>76</v>
      </c>
      <c r="H260" t="str">
        <f>_xlfn.XLOOKUP(G260,Cust_Vend_table[Party_Name],Cust_Vend_table[Party_ID])</f>
        <v>P008</v>
      </c>
      <c r="I260" t="s">
        <v>84</v>
      </c>
      <c r="J260" t="str">
        <f>_xlfn.XLOOKUP(I260,Dept_table[Department_Name],Dept_table[Department_ID])</f>
        <v>D002</v>
      </c>
      <c r="K260" t="s">
        <v>102</v>
      </c>
      <c r="L260" t="str">
        <f>_xlfn.XLOOKUP(K260,Payment_table[Payment_Mode],Payment_table[Payment_Mode_ID])</f>
        <v>PM03</v>
      </c>
      <c r="M260" t="s">
        <v>890</v>
      </c>
      <c r="N260" t="s">
        <v>891</v>
      </c>
      <c r="O260" s="3">
        <v>33051</v>
      </c>
      <c r="P260" s="3">
        <v>5949.18</v>
      </c>
      <c r="Q260" s="3">
        <v>39000.18</v>
      </c>
      <c r="R260" t="s">
        <v>116</v>
      </c>
    </row>
    <row r="261" spans="1:18" x14ac:dyDescent="0.3">
      <c r="A261" t="s">
        <v>892</v>
      </c>
      <c r="B261" s="1">
        <v>46042</v>
      </c>
      <c r="C261" s="1" t="s">
        <v>23</v>
      </c>
      <c r="D261" t="str">
        <f>_xlfn.XLOOKUP(C261,Company_table[Company_Name],Company_table[Company_ID])</f>
        <v>C003</v>
      </c>
      <c r="E261" t="s">
        <v>51</v>
      </c>
      <c r="F261" t="str">
        <f>_xlfn.XLOOKUP(E261,Account_table[Account_Name],Account_table[Account_ID])</f>
        <v>A008</v>
      </c>
      <c r="G261" t="s">
        <v>72</v>
      </c>
      <c r="H261" t="str">
        <f>_xlfn.XLOOKUP(G261,Cust_Vend_table[Party_Name],Cust_Vend_table[Party_ID])</f>
        <v>P006</v>
      </c>
      <c r="I261" t="s">
        <v>87</v>
      </c>
      <c r="J261" t="str">
        <f>_xlfn.XLOOKUP(I261,Dept_table[Department_Name],Dept_table[Department_ID])</f>
        <v>D003</v>
      </c>
      <c r="K261" t="s">
        <v>104</v>
      </c>
      <c r="L261" t="str">
        <f>_xlfn.XLOOKUP(K261,Payment_table[Payment_Mode],Payment_table[Payment_Mode_ID])</f>
        <v>PM04</v>
      </c>
      <c r="M261" t="s">
        <v>893</v>
      </c>
      <c r="N261" t="s">
        <v>894</v>
      </c>
      <c r="O261" s="3">
        <v>31668</v>
      </c>
      <c r="P261" s="3">
        <v>5700.24</v>
      </c>
      <c r="Q261" s="3">
        <v>37368.239999999998</v>
      </c>
      <c r="R261" t="s">
        <v>116</v>
      </c>
    </row>
    <row r="262" spans="1:18" x14ac:dyDescent="0.3">
      <c r="A262" t="s">
        <v>895</v>
      </c>
      <c r="B262" s="1">
        <v>45851</v>
      </c>
      <c r="C262" s="1" t="s">
        <v>14</v>
      </c>
      <c r="D262" t="str">
        <f>_xlfn.XLOOKUP(C262,Company_table[Company_Name],Company_table[Company_ID])</f>
        <v>C001</v>
      </c>
      <c r="E262" t="s">
        <v>47</v>
      </c>
      <c r="F262" t="str">
        <f>_xlfn.XLOOKUP(E262,Account_table[Account_Name],Account_table[Account_ID])</f>
        <v>A006</v>
      </c>
      <c r="G262" t="s">
        <v>72</v>
      </c>
      <c r="H262" t="str">
        <f>_xlfn.XLOOKUP(G262,Cust_Vend_table[Party_Name],Cust_Vend_table[Party_ID])</f>
        <v>P006</v>
      </c>
      <c r="I262" t="s">
        <v>93</v>
      </c>
      <c r="J262" t="str">
        <f>_xlfn.XLOOKUP(I262,Dept_table[Department_Name],Dept_table[Department_ID])</f>
        <v>D005</v>
      </c>
      <c r="K262" t="s">
        <v>100</v>
      </c>
      <c r="L262" t="str">
        <f>_xlfn.XLOOKUP(K262,Payment_table[Payment_Mode],Payment_table[Payment_Mode_ID])</f>
        <v>PM02</v>
      </c>
      <c r="M262" t="s">
        <v>896</v>
      </c>
      <c r="N262" t="s">
        <v>897</v>
      </c>
      <c r="O262" s="3">
        <v>21913</v>
      </c>
      <c r="P262" s="3">
        <v>3944.34</v>
      </c>
      <c r="Q262" s="3">
        <v>25857.34</v>
      </c>
      <c r="R262" t="s">
        <v>116</v>
      </c>
    </row>
    <row r="263" spans="1:18" x14ac:dyDescent="0.3">
      <c r="A263" t="s">
        <v>898</v>
      </c>
      <c r="B263" s="1">
        <v>45927</v>
      </c>
      <c r="C263" s="1" t="s">
        <v>19</v>
      </c>
      <c r="D263" t="str">
        <f>_xlfn.XLOOKUP(C263,Company_table[Company_Name],Company_table[Company_ID])</f>
        <v>C002</v>
      </c>
      <c r="E263" t="s">
        <v>37</v>
      </c>
      <c r="F263" t="str">
        <f>_xlfn.XLOOKUP(E263,Account_table[Account_Name],Account_table[Account_ID])</f>
        <v>A003</v>
      </c>
      <c r="G263" t="s">
        <v>57</v>
      </c>
      <c r="H263" t="str">
        <f>_xlfn.XLOOKUP(G263,Cust_Vend_table[Party_Name],Cust_Vend_table[Party_ID])</f>
        <v>P001</v>
      </c>
      <c r="I263" t="s">
        <v>81</v>
      </c>
      <c r="J263" t="str">
        <f>_xlfn.XLOOKUP(I263,Dept_table[Department_Name],Dept_table[Department_ID])</f>
        <v>D001</v>
      </c>
      <c r="K263" t="s">
        <v>98</v>
      </c>
      <c r="L263" t="str">
        <f>_xlfn.XLOOKUP(K263,Payment_table[Payment_Mode],Payment_table[Payment_Mode_ID])</f>
        <v>PM01</v>
      </c>
      <c r="M263" t="s">
        <v>899</v>
      </c>
      <c r="N263" t="s">
        <v>900</v>
      </c>
      <c r="O263" s="3">
        <v>39787</v>
      </c>
      <c r="P263" s="3">
        <v>7161.66</v>
      </c>
      <c r="Q263" s="3">
        <v>46948.66</v>
      </c>
      <c r="R263" t="s">
        <v>135</v>
      </c>
    </row>
    <row r="264" spans="1:18" x14ac:dyDescent="0.3">
      <c r="A264" t="s">
        <v>901</v>
      </c>
      <c r="B264" s="1">
        <v>45959</v>
      </c>
      <c r="C264" s="1" t="s">
        <v>19</v>
      </c>
      <c r="D264" t="str">
        <f>_xlfn.XLOOKUP(C264,Company_table[Company_Name],Company_table[Company_ID])</f>
        <v>C002</v>
      </c>
      <c r="E264" t="s">
        <v>31</v>
      </c>
      <c r="F264" t="str">
        <f>_xlfn.XLOOKUP(E264,Account_table[Account_Name],Account_table[Account_ID])</f>
        <v>A001</v>
      </c>
      <c r="G264" t="s">
        <v>62</v>
      </c>
      <c r="H264" t="str">
        <f>_xlfn.XLOOKUP(G264,Cust_Vend_table[Party_Name],Cust_Vend_table[Party_ID])</f>
        <v>P003</v>
      </c>
      <c r="I264" t="s">
        <v>93</v>
      </c>
      <c r="J264" t="str">
        <f>_xlfn.XLOOKUP(I264,Dept_table[Department_Name],Dept_table[Department_ID])</f>
        <v>D005</v>
      </c>
      <c r="K264" t="s">
        <v>104</v>
      </c>
      <c r="L264" t="str">
        <f>_xlfn.XLOOKUP(K264,Payment_table[Payment_Mode],Payment_table[Payment_Mode_ID])</f>
        <v>PM04</v>
      </c>
      <c r="M264" t="s">
        <v>902</v>
      </c>
      <c r="N264" t="s">
        <v>903</v>
      </c>
      <c r="O264" s="3">
        <v>26894</v>
      </c>
      <c r="P264" s="3">
        <v>4840.92</v>
      </c>
      <c r="Q264" s="3">
        <v>31734.92</v>
      </c>
      <c r="R264" t="s">
        <v>135</v>
      </c>
    </row>
    <row r="265" spans="1:18" x14ac:dyDescent="0.3">
      <c r="A265" t="s">
        <v>904</v>
      </c>
      <c r="B265" s="1">
        <v>45662</v>
      </c>
      <c r="C265" s="1" t="s">
        <v>14</v>
      </c>
      <c r="D265" t="str">
        <f>_xlfn.XLOOKUP(C265,Company_table[Company_Name],Company_table[Company_ID])</f>
        <v>C001</v>
      </c>
      <c r="E265" t="s">
        <v>47</v>
      </c>
      <c r="F265" t="str">
        <f>_xlfn.XLOOKUP(E265,Account_table[Account_Name],Account_table[Account_ID])</f>
        <v>A006</v>
      </c>
      <c r="G265" t="s">
        <v>76</v>
      </c>
      <c r="H265" t="str">
        <f>_xlfn.XLOOKUP(G265,Cust_Vend_table[Party_Name],Cust_Vend_table[Party_ID])</f>
        <v>P008</v>
      </c>
      <c r="I265" t="s">
        <v>90</v>
      </c>
      <c r="J265" t="str">
        <f>_xlfn.XLOOKUP(I265,Dept_table[Department_Name],Dept_table[Department_ID])</f>
        <v>D004</v>
      </c>
      <c r="K265" t="s">
        <v>104</v>
      </c>
      <c r="L265" t="str">
        <f>_xlfn.XLOOKUP(K265,Payment_table[Payment_Mode],Payment_table[Payment_Mode_ID])</f>
        <v>PM04</v>
      </c>
      <c r="M265" t="s">
        <v>905</v>
      </c>
      <c r="N265" t="s">
        <v>906</v>
      </c>
      <c r="O265" s="3">
        <v>27348</v>
      </c>
      <c r="P265" s="3">
        <v>4922.6400000000003</v>
      </c>
      <c r="Q265" s="3">
        <v>32270.639999999999</v>
      </c>
      <c r="R265" t="s">
        <v>116</v>
      </c>
    </row>
    <row r="266" spans="1:18" x14ac:dyDescent="0.3">
      <c r="A266" t="s">
        <v>907</v>
      </c>
      <c r="B266" s="1">
        <v>46049</v>
      </c>
      <c r="C266" s="1" t="s">
        <v>19</v>
      </c>
      <c r="D266" t="str">
        <f>_xlfn.XLOOKUP(C266,Company_table[Company_Name],Company_table[Company_ID])</f>
        <v>C002</v>
      </c>
      <c r="E266" t="s">
        <v>35</v>
      </c>
      <c r="F266" t="str">
        <f>_xlfn.XLOOKUP(E266,Account_table[Account_Name],Account_table[Account_ID])</f>
        <v>A002</v>
      </c>
      <c r="G266" t="s">
        <v>65</v>
      </c>
      <c r="H266" t="str">
        <f>_xlfn.XLOOKUP(G266,Cust_Vend_table[Party_Name],Cust_Vend_table[Party_ID])</f>
        <v>P004</v>
      </c>
      <c r="I266" t="s">
        <v>93</v>
      </c>
      <c r="J266" t="str">
        <f>_xlfn.XLOOKUP(I266,Dept_table[Department_Name],Dept_table[Department_ID])</f>
        <v>D005</v>
      </c>
      <c r="K266" t="s">
        <v>104</v>
      </c>
      <c r="L266" t="str">
        <f>_xlfn.XLOOKUP(K266,Payment_table[Payment_Mode],Payment_table[Payment_Mode_ID])</f>
        <v>PM04</v>
      </c>
      <c r="M266" t="s">
        <v>908</v>
      </c>
      <c r="N266" t="s">
        <v>909</v>
      </c>
      <c r="O266" s="3">
        <v>40373</v>
      </c>
      <c r="P266" s="3">
        <v>7267.14</v>
      </c>
      <c r="Q266" s="3">
        <v>47640.14</v>
      </c>
      <c r="R266" t="s">
        <v>135</v>
      </c>
    </row>
    <row r="267" spans="1:18" x14ac:dyDescent="0.3">
      <c r="A267" t="s">
        <v>910</v>
      </c>
      <c r="B267" s="1">
        <v>45870</v>
      </c>
      <c r="C267" s="1" t="s">
        <v>19</v>
      </c>
      <c r="D267" t="str">
        <f>_xlfn.XLOOKUP(C267,Company_table[Company_Name],Company_table[Company_ID])</f>
        <v>C002</v>
      </c>
      <c r="E267" t="s">
        <v>37</v>
      </c>
      <c r="F267" t="str">
        <f>_xlfn.XLOOKUP(E267,Account_table[Account_Name],Account_table[Account_ID])</f>
        <v>A003</v>
      </c>
      <c r="G267" t="s">
        <v>65</v>
      </c>
      <c r="H267" t="str">
        <f>_xlfn.XLOOKUP(G267,Cust_Vend_table[Party_Name],Cust_Vend_table[Party_ID])</f>
        <v>P004</v>
      </c>
      <c r="I267" t="s">
        <v>84</v>
      </c>
      <c r="J267" t="str">
        <f>_xlfn.XLOOKUP(I267,Dept_table[Department_Name],Dept_table[Department_ID])</f>
        <v>D002</v>
      </c>
      <c r="K267" t="s">
        <v>100</v>
      </c>
      <c r="L267" t="str">
        <f>_xlfn.XLOOKUP(K267,Payment_table[Payment_Mode],Payment_table[Payment_Mode_ID])</f>
        <v>PM02</v>
      </c>
      <c r="M267" t="s">
        <v>911</v>
      </c>
      <c r="N267" t="s">
        <v>912</v>
      </c>
      <c r="O267" s="3">
        <v>34493</v>
      </c>
      <c r="P267" s="3">
        <v>6208.74</v>
      </c>
      <c r="Q267" s="3">
        <v>40701.74</v>
      </c>
      <c r="R267" t="s">
        <v>135</v>
      </c>
    </row>
    <row r="268" spans="1:18" x14ac:dyDescent="0.3">
      <c r="A268" t="s">
        <v>913</v>
      </c>
      <c r="B268" s="1">
        <v>45680</v>
      </c>
      <c r="C268" s="1" t="s">
        <v>14</v>
      </c>
      <c r="D268" t="str">
        <f>_xlfn.XLOOKUP(C268,Company_table[Company_Name],Company_table[Company_ID])</f>
        <v>C001</v>
      </c>
      <c r="E268" t="s">
        <v>47</v>
      </c>
      <c r="F268" t="str">
        <f>_xlfn.XLOOKUP(E268,Account_table[Account_Name],Account_table[Account_ID])</f>
        <v>A006</v>
      </c>
      <c r="G268" t="s">
        <v>74</v>
      </c>
      <c r="H268" t="str">
        <f>_xlfn.XLOOKUP(G268,Cust_Vend_table[Party_Name],Cust_Vend_table[Party_ID])</f>
        <v>P007</v>
      </c>
      <c r="I268" t="s">
        <v>81</v>
      </c>
      <c r="J268" t="str">
        <f>_xlfn.XLOOKUP(I268,Dept_table[Department_Name],Dept_table[Department_ID])</f>
        <v>D001</v>
      </c>
      <c r="K268" t="s">
        <v>104</v>
      </c>
      <c r="L268" t="str">
        <f>_xlfn.XLOOKUP(K268,Payment_table[Payment_Mode],Payment_table[Payment_Mode_ID])</f>
        <v>PM04</v>
      </c>
      <c r="M268" t="s">
        <v>914</v>
      </c>
      <c r="N268" t="s">
        <v>915</v>
      </c>
      <c r="O268" s="3">
        <v>28095</v>
      </c>
      <c r="P268" s="3">
        <v>5057.1000000000004</v>
      </c>
      <c r="Q268" s="3">
        <v>33152.1</v>
      </c>
      <c r="R268" t="s">
        <v>116</v>
      </c>
    </row>
    <row r="269" spans="1:18" x14ac:dyDescent="0.3">
      <c r="A269" t="s">
        <v>916</v>
      </c>
      <c r="B269" s="1">
        <v>45921</v>
      </c>
      <c r="C269" s="1" t="s">
        <v>23</v>
      </c>
      <c r="D269" t="str">
        <f>_xlfn.XLOOKUP(C269,Company_table[Company_Name],Company_table[Company_ID])</f>
        <v>C003</v>
      </c>
      <c r="E269" t="s">
        <v>47</v>
      </c>
      <c r="F269" t="str">
        <f>_xlfn.XLOOKUP(E269,Account_table[Account_Name],Account_table[Account_ID])</f>
        <v>A006</v>
      </c>
      <c r="G269" t="s">
        <v>74</v>
      </c>
      <c r="H269" t="str">
        <f>_xlfn.XLOOKUP(G269,Cust_Vend_table[Party_Name],Cust_Vend_table[Party_ID])</f>
        <v>P007</v>
      </c>
      <c r="I269" t="s">
        <v>87</v>
      </c>
      <c r="J269" t="str">
        <f>_xlfn.XLOOKUP(I269,Dept_table[Department_Name],Dept_table[Department_ID])</f>
        <v>D003</v>
      </c>
      <c r="K269" t="s">
        <v>104</v>
      </c>
      <c r="L269" t="str">
        <f>_xlfn.XLOOKUP(K269,Payment_table[Payment_Mode],Payment_table[Payment_Mode_ID])</f>
        <v>PM04</v>
      </c>
      <c r="M269" t="s">
        <v>917</v>
      </c>
      <c r="N269" t="s">
        <v>918</v>
      </c>
      <c r="O269" s="3">
        <v>48044</v>
      </c>
      <c r="P269" s="3">
        <v>8647.92</v>
      </c>
      <c r="Q269" s="3">
        <v>56691.92</v>
      </c>
      <c r="R269" t="s">
        <v>116</v>
      </c>
    </row>
    <row r="270" spans="1:18" x14ac:dyDescent="0.3">
      <c r="A270" t="s">
        <v>919</v>
      </c>
      <c r="B270" s="1">
        <v>46022</v>
      </c>
      <c r="C270" s="1" t="s">
        <v>14</v>
      </c>
      <c r="D270" t="str">
        <f>_xlfn.XLOOKUP(C270,Company_table[Company_Name],Company_table[Company_ID])</f>
        <v>C001</v>
      </c>
      <c r="E270" t="s">
        <v>40</v>
      </c>
      <c r="F270" t="str">
        <f>_xlfn.XLOOKUP(E270,Account_table[Account_Name],Account_table[Account_ID])</f>
        <v>A004</v>
      </c>
      <c r="G270" t="s">
        <v>69</v>
      </c>
      <c r="H270" t="str">
        <f>_xlfn.XLOOKUP(G270,Cust_Vend_table[Party_Name],Cust_Vend_table[Party_ID])</f>
        <v>P005</v>
      </c>
      <c r="I270" t="s">
        <v>93</v>
      </c>
      <c r="J270" t="str">
        <f>_xlfn.XLOOKUP(I270,Dept_table[Department_Name],Dept_table[Department_ID])</f>
        <v>D005</v>
      </c>
      <c r="K270" t="s">
        <v>102</v>
      </c>
      <c r="L270" t="str">
        <f>_xlfn.XLOOKUP(K270,Payment_table[Payment_Mode],Payment_table[Payment_Mode_ID])</f>
        <v>PM03</v>
      </c>
      <c r="M270" t="s">
        <v>920</v>
      </c>
      <c r="N270" t="s">
        <v>921</v>
      </c>
      <c r="O270" s="3">
        <v>44344</v>
      </c>
      <c r="P270" s="3">
        <v>7981.92</v>
      </c>
      <c r="Q270" s="3">
        <v>52325.919999999998</v>
      </c>
      <c r="R270" t="s">
        <v>116</v>
      </c>
    </row>
    <row r="271" spans="1:18" x14ac:dyDescent="0.3">
      <c r="A271" t="s">
        <v>922</v>
      </c>
      <c r="B271" s="1">
        <v>45885</v>
      </c>
      <c r="C271" s="1" t="s">
        <v>19</v>
      </c>
      <c r="D271" t="str">
        <f>_xlfn.XLOOKUP(C271,Company_table[Company_Name],Company_table[Company_ID])</f>
        <v>C002</v>
      </c>
      <c r="E271" t="s">
        <v>40</v>
      </c>
      <c r="F271" t="str">
        <f>_xlfn.XLOOKUP(E271,Account_table[Account_Name],Account_table[Account_ID])</f>
        <v>A004</v>
      </c>
      <c r="G271" t="s">
        <v>76</v>
      </c>
      <c r="H271" t="str">
        <f>_xlfn.XLOOKUP(G271,Cust_Vend_table[Party_Name],Cust_Vend_table[Party_ID])</f>
        <v>P008</v>
      </c>
      <c r="I271" t="s">
        <v>84</v>
      </c>
      <c r="J271" t="str">
        <f>_xlfn.XLOOKUP(I271,Dept_table[Department_Name],Dept_table[Department_ID])</f>
        <v>D002</v>
      </c>
      <c r="K271" t="s">
        <v>100</v>
      </c>
      <c r="L271" t="str">
        <f>_xlfn.XLOOKUP(K271,Payment_table[Payment_Mode],Payment_table[Payment_Mode_ID])</f>
        <v>PM02</v>
      </c>
      <c r="M271" t="s">
        <v>923</v>
      </c>
      <c r="N271" t="s">
        <v>924</v>
      </c>
      <c r="O271" s="3">
        <v>27813</v>
      </c>
      <c r="P271" s="3">
        <v>5006.34</v>
      </c>
      <c r="Q271" s="3">
        <v>32819.339999999997</v>
      </c>
      <c r="R271" t="s">
        <v>116</v>
      </c>
    </row>
    <row r="272" spans="1:18" x14ac:dyDescent="0.3">
      <c r="A272" t="s">
        <v>925</v>
      </c>
      <c r="B272" s="1">
        <v>45869</v>
      </c>
      <c r="C272" s="1" t="s">
        <v>19</v>
      </c>
      <c r="D272" t="str">
        <f>_xlfn.XLOOKUP(C272,Company_table[Company_Name],Company_table[Company_ID])</f>
        <v>C002</v>
      </c>
      <c r="E272" t="s">
        <v>44</v>
      </c>
      <c r="F272" t="str">
        <f>_xlfn.XLOOKUP(E272,Account_table[Account_Name],Account_table[Account_ID])</f>
        <v>A005</v>
      </c>
      <c r="G272" t="s">
        <v>76</v>
      </c>
      <c r="H272" t="str">
        <f>_xlfn.XLOOKUP(G272,Cust_Vend_table[Party_Name],Cust_Vend_table[Party_ID])</f>
        <v>P008</v>
      </c>
      <c r="I272" t="s">
        <v>81</v>
      </c>
      <c r="J272" t="str">
        <f>_xlfn.XLOOKUP(I272,Dept_table[Department_Name],Dept_table[Department_ID])</f>
        <v>D001</v>
      </c>
      <c r="K272" t="s">
        <v>102</v>
      </c>
      <c r="L272" t="str">
        <f>_xlfn.XLOOKUP(K272,Payment_table[Payment_Mode],Payment_table[Payment_Mode_ID])</f>
        <v>PM03</v>
      </c>
      <c r="M272" t="s">
        <v>926</v>
      </c>
      <c r="N272" t="s">
        <v>927</v>
      </c>
      <c r="O272" s="3">
        <v>23567</v>
      </c>
      <c r="P272" s="3">
        <v>4242.0600000000004</v>
      </c>
      <c r="Q272" s="3">
        <v>27809.06</v>
      </c>
      <c r="R272" t="s">
        <v>116</v>
      </c>
    </row>
    <row r="273" spans="1:18" x14ac:dyDescent="0.3">
      <c r="A273" t="s">
        <v>928</v>
      </c>
      <c r="B273" s="1">
        <v>45762</v>
      </c>
      <c r="C273" s="1" t="s">
        <v>19</v>
      </c>
      <c r="D273" t="str">
        <f>_xlfn.XLOOKUP(C273,Company_table[Company_Name],Company_table[Company_ID])</f>
        <v>C002</v>
      </c>
      <c r="E273" t="s">
        <v>31</v>
      </c>
      <c r="F273" t="str">
        <f>_xlfn.XLOOKUP(E273,Account_table[Account_Name],Account_table[Account_ID])</f>
        <v>A001</v>
      </c>
      <c r="G273" t="s">
        <v>65</v>
      </c>
      <c r="H273" t="str">
        <f>_xlfn.XLOOKUP(G273,Cust_Vend_table[Party_Name],Cust_Vend_table[Party_ID])</f>
        <v>P004</v>
      </c>
      <c r="I273" t="s">
        <v>87</v>
      </c>
      <c r="J273" t="str">
        <f>_xlfn.XLOOKUP(I273,Dept_table[Department_Name],Dept_table[Department_ID])</f>
        <v>D003</v>
      </c>
      <c r="K273" t="s">
        <v>98</v>
      </c>
      <c r="L273" t="str">
        <f>_xlfn.XLOOKUP(K273,Payment_table[Payment_Mode],Payment_table[Payment_Mode_ID])</f>
        <v>PM01</v>
      </c>
      <c r="M273" t="s">
        <v>929</v>
      </c>
      <c r="N273" t="s">
        <v>930</v>
      </c>
      <c r="O273" s="3">
        <v>3201</v>
      </c>
      <c r="P273" s="3">
        <v>576.17999999999995</v>
      </c>
      <c r="Q273" s="3">
        <v>3777.18</v>
      </c>
      <c r="R273" t="s">
        <v>135</v>
      </c>
    </row>
    <row r="274" spans="1:18" x14ac:dyDescent="0.3">
      <c r="A274" t="s">
        <v>931</v>
      </c>
      <c r="B274" s="1">
        <v>45665</v>
      </c>
      <c r="C274" s="1" t="s">
        <v>23</v>
      </c>
      <c r="D274" t="str">
        <f>_xlfn.XLOOKUP(C274,Company_table[Company_Name],Company_table[Company_ID])</f>
        <v>C003</v>
      </c>
      <c r="E274" t="s">
        <v>44</v>
      </c>
      <c r="F274" t="str">
        <f>_xlfn.XLOOKUP(E274,Account_table[Account_Name],Account_table[Account_ID])</f>
        <v>A005</v>
      </c>
      <c r="G274" t="s">
        <v>76</v>
      </c>
      <c r="H274" t="str">
        <f>_xlfn.XLOOKUP(G274,Cust_Vend_table[Party_Name],Cust_Vend_table[Party_ID])</f>
        <v>P008</v>
      </c>
      <c r="I274" t="s">
        <v>87</v>
      </c>
      <c r="J274" t="str">
        <f>_xlfn.XLOOKUP(I274,Dept_table[Department_Name],Dept_table[Department_ID])</f>
        <v>D003</v>
      </c>
      <c r="K274" t="s">
        <v>98</v>
      </c>
      <c r="L274" t="str">
        <f>_xlfn.XLOOKUP(K274,Payment_table[Payment_Mode],Payment_table[Payment_Mode_ID])</f>
        <v>PM01</v>
      </c>
      <c r="M274" t="s">
        <v>932</v>
      </c>
      <c r="N274" t="s">
        <v>933</v>
      </c>
      <c r="O274" s="3">
        <v>2770</v>
      </c>
      <c r="P274" s="3">
        <v>498.6</v>
      </c>
      <c r="Q274" s="3">
        <v>3268.6</v>
      </c>
      <c r="R274" t="s">
        <v>116</v>
      </c>
    </row>
    <row r="275" spans="1:18" x14ac:dyDescent="0.3">
      <c r="A275" t="s">
        <v>934</v>
      </c>
      <c r="B275" s="1">
        <v>45942</v>
      </c>
      <c r="C275" s="1" t="s">
        <v>14</v>
      </c>
      <c r="D275" t="str">
        <f>_xlfn.XLOOKUP(C275,Company_table[Company_Name],Company_table[Company_ID])</f>
        <v>C001</v>
      </c>
      <c r="E275" t="s">
        <v>44</v>
      </c>
      <c r="F275" t="str">
        <f>_xlfn.XLOOKUP(E275,Account_table[Account_Name],Account_table[Account_ID])</f>
        <v>A005</v>
      </c>
      <c r="G275" t="s">
        <v>74</v>
      </c>
      <c r="H275" t="str">
        <f>_xlfn.XLOOKUP(G275,Cust_Vend_table[Party_Name],Cust_Vend_table[Party_ID])</f>
        <v>P007</v>
      </c>
      <c r="I275" t="s">
        <v>93</v>
      </c>
      <c r="J275" t="str">
        <f>_xlfn.XLOOKUP(I275,Dept_table[Department_Name],Dept_table[Department_ID])</f>
        <v>D005</v>
      </c>
      <c r="K275" t="s">
        <v>102</v>
      </c>
      <c r="L275" t="str">
        <f>_xlfn.XLOOKUP(K275,Payment_table[Payment_Mode],Payment_table[Payment_Mode_ID])</f>
        <v>PM03</v>
      </c>
      <c r="M275" t="s">
        <v>935</v>
      </c>
      <c r="N275" t="s">
        <v>936</v>
      </c>
      <c r="O275" s="3">
        <v>32239</v>
      </c>
      <c r="P275" s="3">
        <v>5803.02</v>
      </c>
      <c r="Q275" s="3">
        <v>38042.019999999997</v>
      </c>
      <c r="R275" t="s">
        <v>116</v>
      </c>
    </row>
    <row r="276" spans="1:18" x14ac:dyDescent="0.3">
      <c r="A276" t="s">
        <v>937</v>
      </c>
      <c r="B276" s="1">
        <v>46049</v>
      </c>
      <c r="C276" s="1" t="s">
        <v>14</v>
      </c>
      <c r="D276" t="str">
        <f>_xlfn.XLOOKUP(C276,Company_table[Company_Name],Company_table[Company_ID])</f>
        <v>C001</v>
      </c>
      <c r="E276" t="s">
        <v>31</v>
      </c>
      <c r="F276" t="str">
        <f>_xlfn.XLOOKUP(E276,Account_table[Account_Name],Account_table[Account_ID])</f>
        <v>A001</v>
      </c>
      <c r="G276" t="s">
        <v>60</v>
      </c>
      <c r="H276" t="str">
        <f>_xlfn.XLOOKUP(G276,Cust_Vend_table[Party_Name],Cust_Vend_table[Party_ID])</f>
        <v>P002</v>
      </c>
      <c r="I276" t="s">
        <v>90</v>
      </c>
      <c r="J276" t="str">
        <f>_xlfn.XLOOKUP(I276,Dept_table[Department_Name],Dept_table[Department_ID])</f>
        <v>D004</v>
      </c>
      <c r="K276" t="s">
        <v>98</v>
      </c>
      <c r="L276" t="str">
        <f>_xlfn.XLOOKUP(K276,Payment_table[Payment_Mode],Payment_table[Payment_Mode_ID])</f>
        <v>PM01</v>
      </c>
      <c r="M276" t="s">
        <v>938</v>
      </c>
      <c r="N276" t="s">
        <v>939</v>
      </c>
      <c r="O276" s="3">
        <v>49232</v>
      </c>
      <c r="P276" s="3">
        <v>8861.76</v>
      </c>
      <c r="Q276" s="3">
        <v>58093.760000000002</v>
      </c>
      <c r="R276" t="s">
        <v>135</v>
      </c>
    </row>
    <row r="277" spans="1:18" x14ac:dyDescent="0.3">
      <c r="A277" t="s">
        <v>940</v>
      </c>
      <c r="B277" s="1">
        <v>45720</v>
      </c>
      <c r="C277" s="1" t="s">
        <v>14</v>
      </c>
      <c r="D277" t="str">
        <f>_xlfn.XLOOKUP(C277,Company_table[Company_Name],Company_table[Company_ID])</f>
        <v>C001</v>
      </c>
      <c r="E277" t="s">
        <v>31</v>
      </c>
      <c r="F277" t="str">
        <f>_xlfn.XLOOKUP(E277,Account_table[Account_Name],Account_table[Account_ID])</f>
        <v>A001</v>
      </c>
      <c r="G277" t="s">
        <v>60</v>
      </c>
      <c r="H277" t="str">
        <f>_xlfn.XLOOKUP(G277,Cust_Vend_table[Party_Name],Cust_Vend_table[Party_ID])</f>
        <v>P002</v>
      </c>
      <c r="I277" t="s">
        <v>90</v>
      </c>
      <c r="J277" t="str">
        <f>_xlfn.XLOOKUP(I277,Dept_table[Department_Name],Dept_table[Department_ID])</f>
        <v>D004</v>
      </c>
      <c r="K277" t="s">
        <v>102</v>
      </c>
      <c r="L277" t="str">
        <f>_xlfn.XLOOKUP(K277,Payment_table[Payment_Mode],Payment_table[Payment_Mode_ID])</f>
        <v>PM03</v>
      </c>
      <c r="M277" t="s">
        <v>941</v>
      </c>
      <c r="N277" t="s">
        <v>942</v>
      </c>
      <c r="O277" s="3">
        <v>32027</v>
      </c>
      <c r="P277" s="3">
        <v>5764.86</v>
      </c>
      <c r="Q277" s="3">
        <v>37791.86</v>
      </c>
      <c r="R277" t="s">
        <v>135</v>
      </c>
    </row>
    <row r="278" spans="1:18" x14ac:dyDescent="0.3">
      <c r="A278" t="s">
        <v>943</v>
      </c>
      <c r="B278" s="1">
        <v>45880</v>
      </c>
      <c r="C278" s="1" t="s">
        <v>14</v>
      </c>
      <c r="D278" t="str">
        <f>_xlfn.XLOOKUP(C278,Company_table[Company_Name],Company_table[Company_ID])</f>
        <v>C001</v>
      </c>
      <c r="E278" t="s">
        <v>49</v>
      </c>
      <c r="F278" t="str">
        <f>_xlfn.XLOOKUP(E278,Account_table[Account_Name],Account_table[Account_ID])</f>
        <v>A007</v>
      </c>
      <c r="G278" t="s">
        <v>74</v>
      </c>
      <c r="H278" t="str">
        <f>_xlfn.XLOOKUP(G278,Cust_Vend_table[Party_Name],Cust_Vend_table[Party_ID])</f>
        <v>P007</v>
      </c>
      <c r="I278" t="s">
        <v>90</v>
      </c>
      <c r="J278" t="str">
        <f>_xlfn.XLOOKUP(I278,Dept_table[Department_Name],Dept_table[Department_ID])</f>
        <v>D004</v>
      </c>
      <c r="K278" t="s">
        <v>104</v>
      </c>
      <c r="L278" t="str">
        <f>_xlfn.XLOOKUP(K278,Payment_table[Payment_Mode],Payment_table[Payment_Mode_ID])</f>
        <v>PM04</v>
      </c>
      <c r="M278" t="s">
        <v>944</v>
      </c>
      <c r="N278" t="s">
        <v>945</v>
      </c>
      <c r="O278" s="3">
        <v>14739</v>
      </c>
      <c r="P278" s="3">
        <v>2653.02</v>
      </c>
      <c r="Q278" s="3">
        <v>17392.02</v>
      </c>
      <c r="R278" t="s">
        <v>116</v>
      </c>
    </row>
    <row r="279" spans="1:18" x14ac:dyDescent="0.3">
      <c r="A279" t="s">
        <v>946</v>
      </c>
      <c r="B279" s="1">
        <v>45912</v>
      </c>
      <c r="C279" s="1" t="s">
        <v>14</v>
      </c>
      <c r="D279" t="str">
        <f>_xlfn.XLOOKUP(C279,Company_table[Company_Name],Company_table[Company_ID])</f>
        <v>C001</v>
      </c>
      <c r="E279" t="s">
        <v>37</v>
      </c>
      <c r="F279" t="str">
        <f>_xlfn.XLOOKUP(E279,Account_table[Account_Name],Account_table[Account_ID])</f>
        <v>A003</v>
      </c>
      <c r="G279" t="s">
        <v>57</v>
      </c>
      <c r="H279" t="str">
        <f>_xlfn.XLOOKUP(G279,Cust_Vend_table[Party_Name],Cust_Vend_table[Party_ID])</f>
        <v>P001</v>
      </c>
      <c r="I279" t="s">
        <v>93</v>
      </c>
      <c r="J279" t="str">
        <f>_xlfn.XLOOKUP(I279,Dept_table[Department_Name],Dept_table[Department_ID])</f>
        <v>D005</v>
      </c>
      <c r="K279" t="s">
        <v>102</v>
      </c>
      <c r="L279" t="str">
        <f>_xlfn.XLOOKUP(K279,Payment_table[Payment_Mode],Payment_table[Payment_Mode_ID])</f>
        <v>PM03</v>
      </c>
      <c r="M279" t="s">
        <v>947</v>
      </c>
      <c r="N279" t="s">
        <v>948</v>
      </c>
      <c r="O279" s="3">
        <v>17093</v>
      </c>
      <c r="P279" s="3">
        <v>3076.74</v>
      </c>
      <c r="Q279" s="3">
        <v>20169.740000000002</v>
      </c>
      <c r="R279" t="s">
        <v>135</v>
      </c>
    </row>
    <row r="280" spans="1:18" x14ac:dyDescent="0.3">
      <c r="A280" t="s">
        <v>949</v>
      </c>
      <c r="B280" s="1">
        <v>45823</v>
      </c>
      <c r="C280" s="1" t="s">
        <v>23</v>
      </c>
      <c r="D280" t="str">
        <f>_xlfn.XLOOKUP(C280,Company_table[Company_Name],Company_table[Company_ID])</f>
        <v>C003</v>
      </c>
      <c r="E280" t="s">
        <v>35</v>
      </c>
      <c r="F280" t="str">
        <f>_xlfn.XLOOKUP(E280,Account_table[Account_Name],Account_table[Account_ID])</f>
        <v>A002</v>
      </c>
      <c r="G280" t="s">
        <v>60</v>
      </c>
      <c r="H280" t="str">
        <f>_xlfn.XLOOKUP(G280,Cust_Vend_table[Party_Name],Cust_Vend_table[Party_ID])</f>
        <v>P002</v>
      </c>
      <c r="I280" t="s">
        <v>81</v>
      </c>
      <c r="J280" t="str">
        <f>_xlfn.XLOOKUP(I280,Dept_table[Department_Name],Dept_table[Department_ID])</f>
        <v>D001</v>
      </c>
      <c r="K280" t="s">
        <v>102</v>
      </c>
      <c r="L280" t="str">
        <f>_xlfn.XLOOKUP(K280,Payment_table[Payment_Mode],Payment_table[Payment_Mode_ID])</f>
        <v>PM03</v>
      </c>
      <c r="M280" t="s">
        <v>950</v>
      </c>
      <c r="N280" t="s">
        <v>951</v>
      </c>
      <c r="O280" s="3">
        <v>47228</v>
      </c>
      <c r="P280" s="3">
        <v>8501.0400000000009</v>
      </c>
      <c r="Q280" s="3">
        <v>55729.04</v>
      </c>
      <c r="R280" t="s">
        <v>135</v>
      </c>
    </row>
    <row r="281" spans="1:18" x14ac:dyDescent="0.3">
      <c r="A281" t="s">
        <v>952</v>
      </c>
      <c r="B281" s="1">
        <v>45824</v>
      </c>
      <c r="C281" s="1" t="s">
        <v>14</v>
      </c>
      <c r="D281" t="str">
        <f>_xlfn.XLOOKUP(C281,Company_table[Company_Name],Company_table[Company_ID])</f>
        <v>C001</v>
      </c>
      <c r="E281" t="s">
        <v>35</v>
      </c>
      <c r="F281" t="str">
        <f>_xlfn.XLOOKUP(E281,Account_table[Account_Name],Account_table[Account_ID])</f>
        <v>A002</v>
      </c>
      <c r="G281" t="s">
        <v>60</v>
      </c>
      <c r="H281" t="str">
        <f>_xlfn.XLOOKUP(G281,Cust_Vend_table[Party_Name],Cust_Vend_table[Party_ID])</f>
        <v>P002</v>
      </c>
      <c r="I281" t="s">
        <v>84</v>
      </c>
      <c r="J281" t="str">
        <f>_xlfn.XLOOKUP(I281,Dept_table[Department_Name],Dept_table[Department_ID])</f>
        <v>D002</v>
      </c>
      <c r="K281" t="s">
        <v>98</v>
      </c>
      <c r="L281" t="str">
        <f>_xlfn.XLOOKUP(K281,Payment_table[Payment_Mode],Payment_table[Payment_Mode_ID])</f>
        <v>PM01</v>
      </c>
      <c r="M281" t="s">
        <v>953</v>
      </c>
      <c r="N281" t="s">
        <v>954</v>
      </c>
      <c r="O281" s="3">
        <v>41190</v>
      </c>
      <c r="P281" s="3">
        <v>7414.2</v>
      </c>
      <c r="Q281" s="3">
        <v>48604.2</v>
      </c>
      <c r="R281" t="s">
        <v>135</v>
      </c>
    </row>
    <row r="282" spans="1:18" x14ac:dyDescent="0.3">
      <c r="A282" t="s">
        <v>955</v>
      </c>
      <c r="B282" s="1">
        <v>45906</v>
      </c>
      <c r="C282" s="1" t="s">
        <v>14</v>
      </c>
      <c r="D282" t="str">
        <f>_xlfn.XLOOKUP(C282,Company_table[Company_Name],Company_table[Company_ID])</f>
        <v>C001</v>
      </c>
      <c r="E282" t="s">
        <v>35</v>
      </c>
      <c r="F282" t="str">
        <f>_xlfn.XLOOKUP(E282,Account_table[Account_Name],Account_table[Account_ID])</f>
        <v>A002</v>
      </c>
      <c r="G282" t="s">
        <v>65</v>
      </c>
      <c r="H282" t="str">
        <f>_xlfn.XLOOKUP(G282,Cust_Vend_table[Party_Name],Cust_Vend_table[Party_ID])</f>
        <v>P004</v>
      </c>
      <c r="I282" t="s">
        <v>81</v>
      </c>
      <c r="J282" t="str">
        <f>_xlfn.XLOOKUP(I282,Dept_table[Department_Name],Dept_table[Department_ID])</f>
        <v>D001</v>
      </c>
      <c r="K282" t="s">
        <v>98</v>
      </c>
      <c r="L282" t="str">
        <f>_xlfn.XLOOKUP(K282,Payment_table[Payment_Mode],Payment_table[Payment_Mode_ID])</f>
        <v>PM01</v>
      </c>
      <c r="M282" t="s">
        <v>956</v>
      </c>
      <c r="N282" t="s">
        <v>957</v>
      </c>
      <c r="O282" s="3">
        <v>10647</v>
      </c>
      <c r="P282" s="3">
        <v>1916.46</v>
      </c>
      <c r="Q282" s="3">
        <v>12563.46</v>
      </c>
      <c r="R282" t="s">
        <v>135</v>
      </c>
    </row>
    <row r="283" spans="1:18" x14ac:dyDescent="0.3">
      <c r="A283" t="s">
        <v>958</v>
      </c>
      <c r="B283" s="1">
        <v>45724</v>
      </c>
      <c r="C283" s="1" t="s">
        <v>14</v>
      </c>
      <c r="D283" t="str">
        <f>_xlfn.XLOOKUP(C283,Company_table[Company_Name],Company_table[Company_ID])</f>
        <v>C001</v>
      </c>
      <c r="E283" t="s">
        <v>40</v>
      </c>
      <c r="F283" t="str">
        <f>_xlfn.XLOOKUP(E283,Account_table[Account_Name],Account_table[Account_ID])</f>
        <v>A004</v>
      </c>
      <c r="G283" t="s">
        <v>76</v>
      </c>
      <c r="H283" t="str">
        <f>_xlfn.XLOOKUP(G283,Cust_Vend_table[Party_Name],Cust_Vend_table[Party_ID])</f>
        <v>P008</v>
      </c>
      <c r="I283" t="s">
        <v>84</v>
      </c>
      <c r="J283" t="str">
        <f>_xlfn.XLOOKUP(I283,Dept_table[Department_Name],Dept_table[Department_ID])</f>
        <v>D002</v>
      </c>
      <c r="K283" t="s">
        <v>100</v>
      </c>
      <c r="L283" t="str">
        <f>_xlfn.XLOOKUP(K283,Payment_table[Payment_Mode],Payment_table[Payment_Mode_ID])</f>
        <v>PM02</v>
      </c>
      <c r="M283" t="s">
        <v>959</v>
      </c>
      <c r="N283" t="s">
        <v>960</v>
      </c>
      <c r="O283" s="3">
        <v>3121</v>
      </c>
      <c r="P283" s="3">
        <v>561.78</v>
      </c>
      <c r="Q283" s="3">
        <v>3682.78</v>
      </c>
      <c r="R283" t="s">
        <v>116</v>
      </c>
    </row>
    <row r="284" spans="1:18" x14ac:dyDescent="0.3">
      <c r="A284" t="s">
        <v>961</v>
      </c>
      <c r="B284" s="1">
        <v>45953</v>
      </c>
      <c r="C284" s="1" t="s">
        <v>23</v>
      </c>
      <c r="D284" t="str">
        <f>_xlfn.XLOOKUP(C284,Company_table[Company_Name],Company_table[Company_ID])</f>
        <v>C003</v>
      </c>
      <c r="E284" t="s">
        <v>31</v>
      </c>
      <c r="F284" t="str">
        <f>_xlfn.XLOOKUP(E284,Account_table[Account_Name],Account_table[Account_ID])</f>
        <v>A001</v>
      </c>
      <c r="G284" t="s">
        <v>57</v>
      </c>
      <c r="H284" t="str">
        <f>_xlfn.XLOOKUP(G284,Cust_Vend_table[Party_Name],Cust_Vend_table[Party_ID])</f>
        <v>P001</v>
      </c>
      <c r="I284" t="s">
        <v>81</v>
      </c>
      <c r="J284" t="str">
        <f>_xlfn.XLOOKUP(I284,Dept_table[Department_Name],Dept_table[Department_ID])</f>
        <v>D001</v>
      </c>
      <c r="K284" t="s">
        <v>100</v>
      </c>
      <c r="L284" t="str">
        <f>_xlfn.XLOOKUP(K284,Payment_table[Payment_Mode],Payment_table[Payment_Mode_ID])</f>
        <v>PM02</v>
      </c>
      <c r="M284" t="s">
        <v>962</v>
      </c>
      <c r="N284" t="s">
        <v>963</v>
      </c>
      <c r="O284" s="3">
        <v>33187</v>
      </c>
      <c r="P284" s="3">
        <v>5973.66</v>
      </c>
      <c r="Q284" s="3">
        <v>39160.660000000003</v>
      </c>
      <c r="R284" t="s">
        <v>135</v>
      </c>
    </row>
    <row r="285" spans="1:18" x14ac:dyDescent="0.3">
      <c r="A285" t="s">
        <v>964</v>
      </c>
      <c r="B285" s="1">
        <v>45755</v>
      </c>
      <c r="C285" s="1" t="s">
        <v>14</v>
      </c>
      <c r="D285" t="str">
        <f>_xlfn.XLOOKUP(C285,Company_table[Company_Name],Company_table[Company_ID])</f>
        <v>C001</v>
      </c>
      <c r="E285" t="s">
        <v>44</v>
      </c>
      <c r="F285" t="str">
        <f>_xlfn.XLOOKUP(E285,Account_table[Account_Name],Account_table[Account_ID])</f>
        <v>A005</v>
      </c>
      <c r="G285" t="s">
        <v>69</v>
      </c>
      <c r="H285" t="str">
        <f>_xlfn.XLOOKUP(G285,Cust_Vend_table[Party_Name],Cust_Vend_table[Party_ID])</f>
        <v>P005</v>
      </c>
      <c r="I285" t="s">
        <v>81</v>
      </c>
      <c r="J285" t="str">
        <f>_xlfn.XLOOKUP(I285,Dept_table[Department_Name],Dept_table[Department_ID])</f>
        <v>D001</v>
      </c>
      <c r="K285" t="s">
        <v>100</v>
      </c>
      <c r="L285" t="str">
        <f>_xlfn.XLOOKUP(K285,Payment_table[Payment_Mode],Payment_table[Payment_Mode_ID])</f>
        <v>PM02</v>
      </c>
      <c r="M285" t="s">
        <v>965</v>
      </c>
      <c r="N285" t="s">
        <v>966</v>
      </c>
      <c r="O285" s="3">
        <v>21423</v>
      </c>
      <c r="P285" s="3">
        <v>3856.14</v>
      </c>
      <c r="Q285" s="3">
        <v>25279.14</v>
      </c>
      <c r="R285" t="s">
        <v>116</v>
      </c>
    </row>
    <row r="286" spans="1:18" x14ac:dyDescent="0.3">
      <c r="A286" t="s">
        <v>967</v>
      </c>
      <c r="B286" s="1">
        <v>45795</v>
      </c>
      <c r="C286" s="1" t="s">
        <v>14</v>
      </c>
      <c r="D286" t="str">
        <f>_xlfn.XLOOKUP(C286,Company_table[Company_Name],Company_table[Company_ID])</f>
        <v>C001</v>
      </c>
      <c r="E286" t="s">
        <v>49</v>
      </c>
      <c r="F286" t="str">
        <f>_xlfn.XLOOKUP(E286,Account_table[Account_Name],Account_table[Account_ID])</f>
        <v>A007</v>
      </c>
      <c r="G286" t="s">
        <v>76</v>
      </c>
      <c r="H286" t="str">
        <f>_xlfn.XLOOKUP(G286,Cust_Vend_table[Party_Name],Cust_Vend_table[Party_ID])</f>
        <v>P008</v>
      </c>
      <c r="I286" t="s">
        <v>93</v>
      </c>
      <c r="J286" t="str">
        <f>_xlfn.XLOOKUP(I286,Dept_table[Department_Name],Dept_table[Department_ID])</f>
        <v>D005</v>
      </c>
      <c r="K286" t="s">
        <v>98</v>
      </c>
      <c r="L286" t="str">
        <f>_xlfn.XLOOKUP(K286,Payment_table[Payment_Mode],Payment_table[Payment_Mode_ID])</f>
        <v>PM01</v>
      </c>
      <c r="M286" t="s">
        <v>968</v>
      </c>
      <c r="N286" t="s">
        <v>969</v>
      </c>
      <c r="O286" s="3">
        <v>39574</v>
      </c>
      <c r="P286" s="3">
        <v>7123.32</v>
      </c>
      <c r="Q286" s="3">
        <v>46697.32</v>
      </c>
      <c r="R286" t="s">
        <v>116</v>
      </c>
    </row>
    <row r="287" spans="1:18" x14ac:dyDescent="0.3">
      <c r="A287" t="s">
        <v>970</v>
      </c>
      <c r="B287" s="1">
        <v>45704</v>
      </c>
      <c r="C287" s="1" t="s">
        <v>23</v>
      </c>
      <c r="D287" t="str">
        <f>_xlfn.XLOOKUP(C287,Company_table[Company_Name],Company_table[Company_ID])</f>
        <v>C003</v>
      </c>
      <c r="E287" t="s">
        <v>40</v>
      </c>
      <c r="F287" t="str">
        <f>_xlfn.XLOOKUP(E287,Account_table[Account_Name],Account_table[Account_ID])</f>
        <v>A004</v>
      </c>
      <c r="G287" t="s">
        <v>74</v>
      </c>
      <c r="H287" t="str">
        <f>_xlfn.XLOOKUP(G287,Cust_Vend_table[Party_Name],Cust_Vend_table[Party_ID])</f>
        <v>P007</v>
      </c>
      <c r="I287" t="s">
        <v>87</v>
      </c>
      <c r="J287" t="str">
        <f>_xlfn.XLOOKUP(I287,Dept_table[Department_Name],Dept_table[Department_ID])</f>
        <v>D003</v>
      </c>
      <c r="K287" t="s">
        <v>98</v>
      </c>
      <c r="L287" t="str">
        <f>_xlfn.XLOOKUP(K287,Payment_table[Payment_Mode],Payment_table[Payment_Mode_ID])</f>
        <v>PM01</v>
      </c>
      <c r="M287" t="s">
        <v>971</v>
      </c>
      <c r="N287" t="s">
        <v>972</v>
      </c>
      <c r="O287" s="3">
        <v>33749</v>
      </c>
      <c r="P287" s="3">
        <v>6074.82</v>
      </c>
      <c r="Q287" s="3">
        <v>39823.82</v>
      </c>
      <c r="R287" t="s">
        <v>116</v>
      </c>
    </row>
    <row r="288" spans="1:18" x14ac:dyDescent="0.3">
      <c r="A288" t="s">
        <v>973</v>
      </c>
      <c r="B288" s="1">
        <v>45906</v>
      </c>
      <c r="C288" s="1" t="s">
        <v>23</v>
      </c>
      <c r="D288" t="str">
        <f>_xlfn.XLOOKUP(C288,Company_table[Company_Name],Company_table[Company_ID])</f>
        <v>C003</v>
      </c>
      <c r="E288" t="s">
        <v>47</v>
      </c>
      <c r="F288" t="str">
        <f>_xlfn.XLOOKUP(E288,Account_table[Account_Name],Account_table[Account_ID])</f>
        <v>A006</v>
      </c>
      <c r="G288" t="s">
        <v>69</v>
      </c>
      <c r="H288" t="str">
        <f>_xlfn.XLOOKUP(G288,Cust_Vend_table[Party_Name],Cust_Vend_table[Party_ID])</f>
        <v>P005</v>
      </c>
      <c r="I288" t="s">
        <v>87</v>
      </c>
      <c r="J288" t="str">
        <f>_xlfn.XLOOKUP(I288,Dept_table[Department_Name],Dept_table[Department_ID])</f>
        <v>D003</v>
      </c>
      <c r="K288" t="s">
        <v>98</v>
      </c>
      <c r="L288" t="str">
        <f>_xlfn.XLOOKUP(K288,Payment_table[Payment_Mode],Payment_table[Payment_Mode_ID])</f>
        <v>PM01</v>
      </c>
      <c r="M288" t="s">
        <v>974</v>
      </c>
      <c r="N288" t="s">
        <v>975</v>
      </c>
      <c r="O288" s="3">
        <v>7859</v>
      </c>
      <c r="P288" s="3">
        <v>1414.62</v>
      </c>
      <c r="Q288" s="3">
        <v>9273.619999999999</v>
      </c>
      <c r="R288" t="s">
        <v>116</v>
      </c>
    </row>
    <row r="289" spans="1:18" x14ac:dyDescent="0.3">
      <c r="A289" t="s">
        <v>976</v>
      </c>
      <c r="B289" s="1">
        <v>46027</v>
      </c>
      <c r="C289" s="1" t="s">
        <v>19</v>
      </c>
      <c r="D289" t="str">
        <f>_xlfn.XLOOKUP(C289,Company_table[Company_Name],Company_table[Company_ID])</f>
        <v>C002</v>
      </c>
      <c r="E289" t="s">
        <v>47</v>
      </c>
      <c r="F289" t="str">
        <f>_xlfn.XLOOKUP(E289,Account_table[Account_Name],Account_table[Account_ID])</f>
        <v>A006</v>
      </c>
      <c r="G289" t="s">
        <v>69</v>
      </c>
      <c r="H289" t="str">
        <f>_xlfn.XLOOKUP(G289,Cust_Vend_table[Party_Name],Cust_Vend_table[Party_ID])</f>
        <v>P005</v>
      </c>
      <c r="I289" t="s">
        <v>84</v>
      </c>
      <c r="J289" t="str">
        <f>_xlfn.XLOOKUP(I289,Dept_table[Department_Name],Dept_table[Department_ID])</f>
        <v>D002</v>
      </c>
      <c r="K289" t="s">
        <v>102</v>
      </c>
      <c r="L289" t="str">
        <f>_xlfn.XLOOKUP(K289,Payment_table[Payment_Mode],Payment_table[Payment_Mode_ID])</f>
        <v>PM03</v>
      </c>
      <c r="M289" t="s">
        <v>977</v>
      </c>
      <c r="N289" t="s">
        <v>978</v>
      </c>
      <c r="O289" s="3">
        <v>17536</v>
      </c>
      <c r="P289" s="3">
        <v>3156.48</v>
      </c>
      <c r="Q289" s="3">
        <v>20692.48</v>
      </c>
      <c r="R289" t="s">
        <v>116</v>
      </c>
    </row>
    <row r="290" spans="1:18" x14ac:dyDescent="0.3">
      <c r="A290" t="s">
        <v>979</v>
      </c>
      <c r="B290" s="1">
        <v>45900</v>
      </c>
      <c r="C290" s="1" t="s">
        <v>19</v>
      </c>
      <c r="D290" t="str">
        <f>_xlfn.XLOOKUP(C290,Company_table[Company_Name],Company_table[Company_ID])</f>
        <v>C002</v>
      </c>
      <c r="E290" t="s">
        <v>40</v>
      </c>
      <c r="F290" t="str">
        <f>_xlfn.XLOOKUP(E290,Account_table[Account_Name],Account_table[Account_ID])</f>
        <v>A004</v>
      </c>
      <c r="G290" t="s">
        <v>74</v>
      </c>
      <c r="H290" t="str">
        <f>_xlfn.XLOOKUP(G290,Cust_Vend_table[Party_Name],Cust_Vend_table[Party_ID])</f>
        <v>P007</v>
      </c>
      <c r="I290" t="s">
        <v>84</v>
      </c>
      <c r="J290" t="str">
        <f>_xlfn.XLOOKUP(I290,Dept_table[Department_Name],Dept_table[Department_ID])</f>
        <v>D002</v>
      </c>
      <c r="K290" t="s">
        <v>100</v>
      </c>
      <c r="L290" t="str">
        <f>_xlfn.XLOOKUP(K290,Payment_table[Payment_Mode],Payment_table[Payment_Mode_ID])</f>
        <v>PM02</v>
      </c>
      <c r="M290" t="s">
        <v>980</v>
      </c>
      <c r="N290" t="s">
        <v>981</v>
      </c>
      <c r="O290" s="3">
        <v>12968</v>
      </c>
      <c r="P290" s="3">
        <v>2334.2399999999998</v>
      </c>
      <c r="Q290" s="3">
        <v>15302.24</v>
      </c>
      <c r="R290" t="s">
        <v>116</v>
      </c>
    </row>
    <row r="291" spans="1:18" x14ac:dyDescent="0.3">
      <c r="A291" t="s">
        <v>982</v>
      </c>
      <c r="B291" s="1">
        <v>45953</v>
      </c>
      <c r="C291" s="1" t="s">
        <v>19</v>
      </c>
      <c r="D291" t="str">
        <f>_xlfn.XLOOKUP(C291,Company_table[Company_Name],Company_table[Company_ID])</f>
        <v>C002</v>
      </c>
      <c r="E291" t="s">
        <v>49</v>
      </c>
      <c r="F291" t="str">
        <f>_xlfn.XLOOKUP(E291,Account_table[Account_Name],Account_table[Account_ID])</f>
        <v>A007</v>
      </c>
      <c r="G291" t="s">
        <v>76</v>
      </c>
      <c r="H291" t="str">
        <f>_xlfn.XLOOKUP(G291,Cust_Vend_table[Party_Name],Cust_Vend_table[Party_ID])</f>
        <v>P008</v>
      </c>
      <c r="I291" t="s">
        <v>81</v>
      </c>
      <c r="J291" t="str">
        <f>_xlfn.XLOOKUP(I291,Dept_table[Department_Name],Dept_table[Department_ID])</f>
        <v>D001</v>
      </c>
      <c r="K291" t="s">
        <v>100</v>
      </c>
      <c r="L291" t="str">
        <f>_xlfn.XLOOKUP(K291,Payment_table[Payment_Mode],Payment_table[Payment_Mode_ID])</f>
        <v>PM02</v>
      </c>
      <c r="M291" t="s">
        <v>983</v>
      </c>
      <c r="N291" t="s">
        <v>984</v>
      </c>
      <c r="O291" s="3">
        <v>5699</v>
      </c>
      <c r="P291" s="3">
        <v>1025.82</v>
      </c>
      <c r="Q291" s="3">
        <v>6724.82</v>
      </c>
      <c r="R291" t="s">
        <v>116</v>
      </c>
    </row>
    <row r="292" spans="1:18" x14ac:dyDescent="0.3">
      <c r="A292" t="s">
        <v>985</v>
      </c>
      <c r="B292" s="1">
        <v>45714</v>
      </c>
      <c r="C292" s="1" t="s">
        <v>19</v>
      </c>
      <c r="D292" t="str">
        <f>_xlfn.XLOOKUP(C292,Company_table[Company_Name],Company_table[Company_ID])</f>
        <v>C002</v>
      </c>
      <c r="E292" t="s">
        <v>31</v>
      </c>
      <c r="F292" t="str">
        <f>_xlfn.XLOOKUP(E292,Account_table[Account_Name],Account_table[Account_ID])</f>
        <v>A001</v>
      </c>
      <c r="G292" t="s">
        <v>62</v>
      </c>
      <c r="H292" t="str">
        <f>_xlfn.XLOOKUP(G292,Cust_Vend_table[Party_Name],Cust_Vend_table[Party_ID])</f>
        <v>P003</v>
      </c>
      <c r="I292" t="s">
        <v>81</v>
      </c>
      <c r="J292" t="str">
        <f>_xlfn.XLOOKUP(I292,Dept_table[Department_Name],Dept_table[Department_ID])</f>
        <v>D001</v>
      </c>
      <c r="K292" t="s">
        <v>100</v>
      </c>
      <c r="L292" t="str">
        <f>_xlfn.XLOOKUP(K292,Payment_table[Payment_Mode],Payment_table[Payment_Mode_ID])</f>
        <v>PM02</v>
      </c>
      <c r="M292" t="s">
        <v>986</v>
      </c>
      <c r="N292" t="s">
        <v>987</v>
      </c>
      <c r="O292" s="3">
        <v>2793</v>
      </c>
      <c r="P292" s="3">
        <v>502.74</v>
      </c>
      <c r="Q292" s="3">
        <v>3295.74</v>
      </c>
      <c r="R292" t="s">
        <v>135</v>
      </c>
    </row>
    <row r="293" spans="1:18" x14ac:dyDescent="0.3">
      <c r="A293" t="s">
        <v>988</v>
      </c>
      <c r="B293" s="1">
        <v>45714</v>
      </c>
      <c r="C293" s="1" t="s">
        <v>23</v>
      </c>
      <c r="D293" t="str">
        <f>_xlfn.XLOOKUP(C293,Company_table[Company_Name],Company_table[Company_ID])</f>
        <v>C003</v>
      </c>
      <c r="E293" t="s">
        <v>49</v>
      </c>
      <c r="F293" t="str">
        <f>_xlfn.XLOOKUP(E293,Account_table[Account_Name],Account_table[Account_ID])</f>
        <v>A007</v>
      </c>
      <c r="G293" t="s">
        <v>74</v>
      </c>
      <c r="H293" t="str">
        <f>_xlfn.XLOOKUP(G293,Cust_Vend_table[Party_Name],Cust_Vend_table[Party_ID])</f>
        <v>P007</v>
      </c>
      <c r="I293" t="s">
        <v>81</v>
      </c>
      <c r="J293" t="str">
        <f>_xlfn.XLOOKUP(I293,Dept_table[Department_Name],Dept_table[Department_ID])</f>
        <v>D001</v>
      </c>
      <c r="K293" t="s">
        <v>102</v>
      </c>
      <c r="L293" t="str">
        <f>_xlfn.XLOOKUP(K293,Payment_table[Payment_Mode],Payment_table[Payment_Mode_ID])</f>
        <v>PM03</v>
      </c>
      <c r="M293" t="s">
        <v>989</v>
      </c>
      <c r="N293" t="s">
        <v>990</v>
      </c>
      <c r="O293" s="3">
        <v>26406</v>
      </c>
      <c r="P293" s="3">
        <v>4753.08</v>
      </c>
      <c r="Q293" s="3">
        <v>31159.08</v>
      </c>
      <c r="R293" t="s">
        <v>116</v>
      </c>
    </row>
    <row r="294" spans="1:18" x14ac:dyDescent="0.3">
      <c r="A294" t="s">
        <v>991</v>
      </c>
      <c r="B294" s="1">
        <v>45816</v>
      </c>
      <c r="C294" s="1" t="s">
        <v>23</v>
      </c>
      <c r="D294" t="str">
        <f>_xlfn.XLOOKUP(C294,Company_table[Company_Name],Company_table[Company_ID])</f>
        <v>C003</v>
      </c>
      <c r="E294" t="s">
        <v>51</v>
      </c>
      <c r="F294" t="str">
        <f>_xlfn.XLOOKUP(E294,Account_table[Account_Name],Account_table[Account_ID])</f>
        <v>A008</v>
      </c>
      <c r="G294" t="s">
        <v>74</v>
      </c>
      <c r="H294" t="str">
        <f>_xlfn.XLOOKUP(G294,Cust_Vend_table[Party_Name],Cust_Vend_table[Party_ID])</f>
        <v>P007</v>
      </c>
      <c r="I294" t="s">
        <v>90</v>
      </c>
      <c r="J294" t="str">
        <f>_xlfn.XLOOKUP(I294,Dept_table[Department_Name],Dept_table[Department_ID])</f>
        <v>D004</v>
      </c>
      <c r="K294" t="s">
        <v>98</v>
      </c>
      <c r="L294" t="str">
        <f>_xlfn.XLOOKUP(K294,Payment_table[Payment_Mode],Payment_table[Payment_Mode_ID])</f>
        <v>PM01</v>
      </c>
      <c r="M294" t="s">
        <v>992</v>
      </c>
      <c r="N294" t="s">
        <v>993</v>
      </c>
      <c r="O294" s="3">
        <v>37386</v>
      </c>
      <c r="P294" s="3">
        <v>6729.48</v>
      </c>
      <c r="Q294" s="3">
        <v>44115.48</v>
      </c>
      <c r="R294" t="s">
        <v>116</v>
      </c>
    </row>
    <row r="295" spans="1:18" x14ac:dyDescent="0.3">
      <c r="A295" t="s">
        <v>994</v>
      </c>
      <c r="B295" s="1">
        <v>45970</v>
      </c>
      <c r="C295" s="1" t="s">
        <v>14</v>
      </c>
      <c r="D295" t="str">
        <f>_xlfn.XLOOKUP(C295,Company_table[Company_Name],Company_table[Company_ID])</f>
        <v>C001</v>
      </c>
      <c r="E295" t="s">
        <v>37</v>
      </c>
      <c r="F295" t="str">
        <f>_xlfn.XLOOKUP(E295,Account_table[Account_Name],Account_table[Account_ID])</f>
        <v>A003</v>
      </c>
      <c r="G295" t="s">
        <v>65</v>
      </c>
      <c r="H295" t="str">
        <f>_xlfn.XLOOKUP(G295,Cust_Vend_table[Party_Name],Cust_Vend_table[Party_ID])</f>
        <v>P004</v>
      </c>
      <c r="I295" t="s">
        <v>87</v>
      </c>
      <c r="J295" t="str">
        <f>_xlfn.XLOOKUP(I295,Dept_table[Department_Name],Dept_table[Department_ID])</f>
        <v>D003</v>
      </c>
      <c r="K295" t="s">
        <v>102</v>
      </c>
      <c r="L295" t="str">
        <f>_xlfn.XLOOKUP(K295,Payment_table[Payment_Mode],Payment_table[Payment_Mode_ID])</f>
        <v>PM03</v>
      </c>
      <c r="M295" t="s">
        <v>995</v>
      </c>
      <c r="N295" t="s">
        <v>996</v>
      </c>
      <c r="O295" s="3">
        <v>43140</v>
      </c>
      <c r="P295" s="3">
        <v>7765.2</v>
      </c>
      <c r="Q295" s="3">
        <v>50905.2</v>
      </c>
      <c r="R295" t="s">
        <v>135</v>
      </c>
    </row>
    <row r="296" spans="1:18" x14ac:dyDescent="0.3">
      <c r="A296" t="s">
        <v>997</v>
      </c>
      <c r="B296" s="1">
        <v>45890</v>
      </c>
      <c r="C296" s="1" t="s">
        <v>19</v>
      </c>
      <c r="D296" t="str">
        <f>_xlfn.XLOOKUP(C296,Company_table[Company_Name],Company_table[Company_ID])</f>
        <v>C002</v>
      </c>
      <c r="E296" t="s">
        <v>37</v>
      </c>
      <c r="F296" t="str">
        <f>_xlfn.XLOOKUP(E296,Account_table[Account_Name],Account_table[Account_ID])</f>
        <v>A003</v>
      </c>
      <c r="G296" t="s">
        <v>57</v>
      </c>
      <c r="H296" t="str">
        <f>_xlfn.XLOOKUP(G296,Cust_Vend_table[Party_Name],Cust_Vend_table[Party_ID])</f>
        <v>P001</v>
      </c>
      <c r="I296" t="s">
        <v>84</v>
      </c>
      <c r="J296" t="str">
        <f>_xlfn.XLOOKUP(I296,Dept_table[Department_Name],Dept_table[Department_ID])</f>
        <v>D002</v>
      </c>
      <c r="K296" t="s">
        <v>98</v>
      </c>
      <c r="L296" t="str">
        <f>_xlfn.XLOOKUP(K296,Payment_table[Payment_Mode],Payment_table[Payment_Mode_ID])</f>
        <v>PM01</v>
      </c>
      <c r="M296" t="s">
        <v>998</v>
      </c>
      <c r="N296" t="s">
        <v>999</v>
      </c>
      <c r="O296" s="3">
        <v>23752</v>
      </c>
      <c r="P296" s="3">
        <v>4275.3599999999997</v>
      </c>
      <c r="Q296" s="3">
        <v>28027.360000000001</v>
      </c>
      <c r="R296" t="s">
        <v>135</v>
      </c>
    </row>
    <row r="297" spans="1:18" x14ac:dyDescent="0.3">
      <c r="A297" t="s">
        <v>1000</v>
      </c>
      <c r="B297" s="1">
        <v>45823</v>
      </c>
      <c r="C297" s="1" t="s">
        <v>19</v>
      </c>
      <c r="D297" t="str">
        <f>_xlfn.XLOOKUP(C297,Company_table[Company_Name],Company_table[Company_ID])</f>
        <v>C002</v>
      </c>
      <c r="E297" t="s">
        <v>31</v>
      </c>
      <c r="F297" t="str">
        <f>_xlfn.XLOOKUP(E297,Account_table[Account_Name],Account_table[Account_ID])</f>
        <v>A001</v>
      </c>
      <c r="G297" t="s">
        <v>65</v>
      </c>
      <c r="H297" t="str">
        <f>_xlfn.XLOOKUP(G297,Cust_Vend_table[Party_Name],Cust_Vend_table[Party_ID])</f>
        <v>P004</v>
      </c>
      <c r="I297" t="s">
        <v>90</v>
      </c>
      <c r="J297" t="str">
        <f>_xlfn.XLOOKUP(I297,Dept_table[Department_Name],Dept_table[Department_ID])</f>
        <v>D004</v>
      </c>
      <c r="K297" t="s">
        <v>98</v>
      </c>
      <c r="L297" t="str">
        <f>_xlfn.XLOOKUP(K297,Payment_table[Payment_Mode],Payment_table[Payment_Mode_ID])</f>
        <v>PM01</v>
      </c>
      <c r="M297" t="s">
        <v>1001</v>
      </c>
      <c r="N297" t="s">
        <v>1002</v>
      </c>
      <c r="O297" s="3">
        <v>17349</v>
      </c>
      <c r="P297" s="3">
        <v>3122.82</v>
      </c>
      <c r="Q297" s="3">
        <v>20471.82</v>
      </c>
      <c r="R297" t="s">
        <v>135</v>
      </c>
    </row>
    <row r="298" spans="1:18" x14ac:dyDescent="0.3">
      <c r="A298" t="s">
        <v>1003</v>
      </c>
      <c r="B298" s="1">
        <v>45731</v>
      </c>
      <c r="C298" s="1" t="s">
        <v>19</v>
      </c>
      <c r="D298" t="str">
        <f>_xlfn.XLOOKUP(C298,Company_table[Company_Name],Company_table[Company_ID])</f>
        <v>C002</v>
      </c>
      <c r="E298" t="s">
        <v>51</v>
      </c>
      <c r="F298" t="str">
        <f>_xlfn.XLOOKUP(E298,Account_table[Account_Name],Account_table[Account_ID])</f>
        <v>A008</v>
      </c>
      <c r="G298" t="s">
        <v>69</v>
      </c>
      <c r="H298" t="str">
        <f>_xlfn.XLOOKUP(G298,Cust_Vend_table[Party_Name],Cust_Vend_table[Party_ID])</f>
        <v>P005</v>
      </c>
      <c r="I298" t="s">
        <v>90</v>
      </c>
      <c r="J298" t="str">
        <f>_xlfn.XLOOKUP(I298,Dept_table[Department_Name],Dept_table[Department_ID])</f>
        <v>D004</v>
      </c>
      <c r="K298" t="s">
        <v>100</v>
      </c>
      <c r="L298" t="str">
        <f>_xlfn.XLOOKUP(K298,Payment_table[Payment_Mode],Payment_table[Payment_Mode_ID])</f>
        <v>PM02</v>
      </c>
      <c r="M298" t="s">
        <v>1004</v>
      </c>
      <c r="N298" t="s">
        <v>1005</v>
      </c>
      <c r="O298" s="3">
        <v>6499</v>
      </c>
      <c r="P298" s="3">
        <v>1169.82</v>
      </c>
      <c r="Q298" s="3">
        <v>7668.82</v>
      </c>
      <c r="R298" t="s">
        <v>116</v>
      </c>
    </row>
    <row r="299" spans="1:18" x14ac:dyDescent="0.3">
      <c r="A299" t="s">
        <v>1006</v>
      </c>
      <c r="B299" s="1">
        <v>45984</v>
      </c>
      <c r="C299" s="1" t="s">
        <v>14</v>
      </c>
      <c r="D299" t="str">
        <f>_xlfn.XLOOKUP(C299,Company_table[Company_Name],Company_table[Company_ID])</f>
        <v>C001</v>
      </c>
      <c r="E299" t="s">
        <v>37</v>
      </c>
      <c r="F299" t="str">
        <f>_xlfn.XLOOKUP(E299,Account_table[Account_Name],Account_table[Account_ID])</f>
        <v>A003</v>
      </c>
      <c r="G299" t="s">
        <v>57</v>
      </c>
      <c r="H299" t="str">
        <f>_xlfn.XLOOKUP(G299,Cust_Vend_table[Party_Name],Cust_Vend_table[Party_ID])</f>
        <v>P001</v>
      </c>
      <c r="I299" t="s">
        <v>87</v>
      </c>
      <c r="J299" t="str">
        <f>_xlfn.XLOOKUP(I299,Dept_table[Department_Name],Dept_table[Department_ID])</f>
        <v>D003</v>
      </c>
      <c r="K299" t="s">
        <v>100</v>
      </c>
      <c r="L299" t="str">
        <f>_xlfn.XLOOKUP(K299,Payment_table[Payment_Mode],Payment_table[Payment_Mode_ID])</f>
        <v>PM02</v>
      </c>
      <c r="M299" t="s">
        <v>1007</v>
      </c>
      <c r="N299" t="s">
        <v>1008</v>
      </c>
      <c r="O299" s="3">
        <v>48511</v>
      </c>
      <c r="P299" s="3">
        <v>8731.98</v>
      </c>
      <c r="Q299" s="3">
        <v>57242.98</v>
      </c>
      <c r="R299" t="s">
        <v>135</v>
      </c>
    </row>
    <row r="300" spans="1:18" x14ac:dyDescent="0.3">
      <c r="A300" t="s">
        <v>1009</v>
      </c>
      <c r="B300" s="1">
        <v>45980</v>
      </c>
      <c r="C300" s="1" t="s">
        <v>19</v>
      </c>
      <c r="D300" t="str">
        <f>_xlfn.XLOOKUP(C300,Company_table[Company_Name],Company_table[Company_ID])</f>
        <v>C002</v>
      </c>
      <c r="E300" t="s">
        <v>35</v>
      </c>
      <c r="F300" t="str">
        <f>_xlfn.XLOOKUP(E300,Account_table[Account_Name],Account_table[Account_ID])</f>
        <v>A002</v>
      </c>
      <c r="G300" t="s">
        <v>62</v>
      </c>
      <c r="H300" t="str">
        <f>_xlfn.XLOOKUP(G300,Cust_Vend_table[Party_Name],Cust_Vend_table[Party_ID])</f>
        <v>P003</v>
      </c>
      <c r="I300" t="s">
        <v>87</v>
      </c>
      <c r="J300" t="str">
        <f>_xlfn.XLOOKUP(I300,Dept_table[Department_Name],Dept_table[Department_ID])</f>
        <v>D003</v>
      </c>
      <c r="K300" t="s">
        <v>102</v>
      </c>
      <c r="L300" t="str">
        <f>_xlfn.XLOOKUP(K300,Payment_table[Payment_Mode],Payment_table[Payment_Mode_ID])</f>
        <v>PM03</v>
      </c>
      <c r="M300" t="s">
        <v>1010</v>
      </c>
      <c r="N300" t="s">
        <v>1011</v>
      </c>
      <c r="O300" s="3">
        <v>36754</v>
      </c>
      <c r="P300" s="3">
        <v>6615.72</v>
      </c>
      <c r="Q300" s="3">
        <v>43369.72</v>
      </c>
      <c r="R300" t="s">
        <v>135</v>
      </c>
    </row>
    <row r="301" spans="1:18" x14ac:dyDescent="0.3">
      <c r="A301" t="s">
        <v>1012</v>
      </c>
      <c r="B301" s="1">
        <v>45677</v>
      </c>
      <c r="C301" s="1" t="s">
        <v>19</v>
      </c>
      <c r="D301" t="str">
        <f>_xlfn.XLOOKUP(C301,Company_table[Company_Name],Company_table[Company_ID])</f>
        <v>C002</v>
      </c>
      <c r="E301" t="s">
        <v>37</v>
      </c>
      <c r="F301" t="str">
        <f>_xlfn.XLOOKUP(E301,Account_table[Account_Name],Account_table[Account_ID])</f>
        <v>A003</v>
      </c>
      <c r="G301" t="s">
        <v>60</v>
      </c>
      <c r="H301" t="str">
        <f>_xlfn.XLOOKUP(G301,Cust_Vend_table[Party_Name],Cust_Vend_table[Party_ID])</f>
        <v>P002</v>
      </c>
      <c r="I301" t="s">
        <v>87</v>
      </c>
      <c r="J301" t="str">
        <f>_xlfn.XLOOKUP(I301,Dept_table[Department_Name],Dept_table[Department_ID])</f>
        <v>D003</v>
      </c>
      <c r="K301" t="s">
        <v>104</v>
      </c>
      <c r="L301" t="str">
        <f>_xlfn.XLOOKUP(K301,Payment_table[Payment_Mode],Payment_table[Payment_Mode_ID])</f>
        <v>PM04</v>
      </c>
      <c r="M301" t="s">
        <v>1013</v>
      </c>
      <c r="N301" t="s">
        <v>1014</v>
      </c>
      <c r="O301" s="3">
        <v>41941</v>
      </c>
      <c r="P301" s="3">
        <v>7549.38</v>
      </c>
      <c r="Q301" s="3">
        <v>49490.38</v>
      </c>
      <c r="R301" t="s">
        <v>135</v>
      </c>
    </row>
    <row r="302" spans="1:18" x14ac:dyDescent="0.3">
      <c r="A302" t="s">
        <v>1015</v>
      </c>
      <c r="B302" s="1">
        <v>45818</v>
      </c>
      <c r="C302" s="1" t="s">
        <v>19</v>
      </c>
      <c r="D302" t="str">
        <f>_xlfn.XLOOKUP(C302,Company_table[Company_Name],Company_table[Company_ID])</f>
        <v>C002</v>
      </c>
      <c r="E302" t="s">
        <v>49</v>
      </c>
      <c r="F302" t="str">
        <f>_xlfn.XLOOKUP(E302,Account_table[Account_Name],Account_table[Account_ID])</f>
        <v>A007</v>
      </c>
      <c r="G302" t="s">
        <v>76</v>
      </c>
      <c r="H302" t="str">
        <f>_xlfn.XLOOKUP(G302,Cust_Vend_table[Party_Name],Cust_Vend_table[Party_ID])</f>
        <v>P008</v>
      </c>
      <c r="I302" t="s">
        <v>93</v>
      </c>
      <c r="J302" t="str">
        <f>_xlfn.XLOOKUP(I302,Dept_table[Department_Name],Dept_table[Department_ID])</f>
        <v>D005</v>
      </c>
      <c r="K302" t="s">
        <v>102</v>
      </c>
      <c r="L302" t="str">
        <f>_xlfn.XLOOKUP(K302,Payment_table[Payment_Mode],Payment_table[Payment_Mode_ID])</f>
        <v>PM03</v>
      </c>
      <c r="M302" t="s">
        <v>1016</v>
      </c>
      <c r="N302" t="s">
        <v>1017</v>
      </c>
      <c r="O302" s="3">
        <v>24008</v>
      </c>
      <c r="P302" s="3">
        <v>4321.4399999999996</v>
      </c>
      <c r="Q302" s="3">
        <v>28329.439999999999</v>
      </c>
      <c r="R302" t="s">
        <v>116</v>
      </c>
    </row>
    <row r="303" spans="1:18" x14ac:dyDescent="0.3">
      <c r="A303" t="s">
        <v>1018</v>
      </c>
      <c r="B303" s="1">
        <v>46013</v>
      </c>
      <c r="C303" s="1" t="s">
        <v>23</v>
      </c>
      <c r="D303" t="str">
        <f>_xlfn.XLOOKUP(C303,Company_table[Company_Name],Company_table[Company_ID])</f>
        <v>C003</v>
      </c>
      <c r="E303" t="s">
        <v>37</v>
      </c>
      <c r="F303" t="str">
        <f>_xlfn.XLOOKUP(E303,Account_table[Account_Name],Account_table[Account_ID])</f>
        <v>A003</v>
      </c>
      <c r="G303" t="s">
        <v>62</v>
      </c>
      <c r="H303" t="str">
        <f>_xlfn.XLOOKUP(G303,Cust_Vend_table[Party_Name],Cust_Vend_table[Party_ID])</f>
        <v>P003</v>
      </c>
      <c r="I303" t="s">
        <v>87</v>
      </c>
      <c r="J303" t="str">
        <f>_xlfn.XLOOKUP(I303,Dept_table[Department_Name],Dept_table[Department_ID])</f>
        <v>D003</v>
      </c>
      <c r="K303" t="s">
        <v>98</v>
      </c>
      <c r="L303" t="str">
        <f>_xlfn.XLOOKUP(K303,Payment_table[Payment_Mode],Payment_table[Payment_Mode_ID])</f>
        <v>PM01</v>
      </c>
      <c r="M303" t="s">
        <v>1019</v>
      </c>
      <c r="N303" t="s">
        <v>1020</v>
      </c>
      <c r="O303" s="3">
        <v>23214</v>
      </c>
      <c r="P303" s="3">
        <v>4178.5200000000004</v>
      </c>
      <c r="Q303" s="3">
        <v>27392.52</v>
      </c>
      <c r="R303" t="s">
        <v>135</v>
      </c>
    </row>
    <row r="304" spans="1:18" x14ac:dyDescent="0.3">
      <c r="A304" t="s">
        <v>1021</v>
      </c>
      <c r="B304" s="1">
        <v>45853</v>
      </c>
      <c r="C304" s="1" t="s">
        <v>19</v>
      </c>
      <c r="D304" t="str">
        <f>_xlfn.XLOOKUP(C304,Company_table[Company_Name],Company_table[Company_ID])</f>
        <v>C002</v>
      </c>
      <c r="E304" t="s">
        <v>51</v>
      </c>
      <c r="F304" t="str">
        <f>_xlfn.XLOOKUP(E304,Account_table[Account_Name],Account_table[Account_ID])</f>
        <v>A008</v>
      </c>
      <c r="G304" t="s">
        <v>74</v>
      </c>
      <c r="H304" t="str">
        <f>_xlfn.XLOOKUP(G304,Cust_Vend_table[Party_Name],Cust_Vend_table[Party_ID])</f>
        <v>P007</v>
      </c>
      <c r="I304" t="s">
        <v>81</v>
      </c>
      <c r="J304" t="str">
        <f>_xlfn.XLOOKUP(I304,Dept_table[Department_Name],Dept_table[Department_ID])</f>
        <v>D001</v>
      </c>
      <c r="K304" t="s">
        <v>104</v>
      </c>
      <c r="L304" t="str">
        <f>_xlfn.XLOOKUP(K304,Payment_table[Payment_Mode],Payment_table[Payment_Mode_ID])</f>
        <v>PM04</v>
      </c>
      <c r="M304" t="s">
        <v>1022</v>
      </c>
      <c r="N304" t="s">
        <v>1023</v>
      </c>
      <c r="O304" s="3">
        <v>13780</v>
      </c>
      <c r="P304" s="3">
        <v>2480.4</v>
      </c>
      <c r="Q304" s="3">
        <v>16260.4</v>
      </c>
      <c r="R304" t="s">
        <v>116</v>
      </c>
    </row>
    <row r="305" spans="1:18" x14ac:dyDescent="0.3">
      <c r="A305" t="s">
        <v>1024</v>
      </c>
      <c r="B305" s="1">
        <v>45705</v>
      </c>
      <c r="C305" s="1" t="s">
        <v>19</v>
      </c>
      <c r="D305" t="str">
        <f>_xlfn.XLOOKUP(C305,Company_table[Company_Name],Company_table[Company_ID])</f>
        <v>C002</v>
      </c>
      <c r="E305" t="s">
        <v>37</v>
      </c>
      <c r="F305" t="str">
        <f>_xlfn.XLOOKUP(E305,Account_table[Account_Name],Account_table[Account_ID])</f>
        <v>A003</v>
      </c>
      <c r="G305" t="s">
        <v>65</v>
      </c>
      <c r="H305" t="str">
        <f>_xlfn.XLOOKUP(G305,Cust_Vend_table[Party_Name],Cust_Vend_table[Party_ID])</f>
        <v>P004</v>
      </c>
      <c r="I305" t="s">
        <v>90</v>
      </c>
      <c r="J305" t="str">
        <f>_xlfn.XLOOKUP(I305,Dept_table[Department_Name],Dept_table[Department_ID])</f>
        <v>D004</v>
      </c>
      <c r="K305" t="s">
        <v>102</v>
      </c>
      <c r="L305" t="str">
        <f>_xlfn.XLOOKUP(K305,Payment_table[Payment_Mode],Payment_table[Payment_Mode_ID])</f>
        <v>PM03</v>
      </c>
      <c r="M305" t="s">
        <v>1025</v>
      </c>
      <c r="N305" t="s">
        <v>1026</v>
      </c>
      <c r="O305" s="3">
        <v>12973</v>
      </c>
      <c r="P305" s="3">
        <v>2335.14</v>
      </c>
      <c r="Q305" s="3">
        <v>15308.14</v>
      </c>
      <c r="R305" t="s">
        <v>135</v>
      </c>
    </row>
    <row r="306" spans="1:18" x14ac:dyDescent="0.3">
      <c r="A306" t="s">
        <v>1027</v>
      </c>
      <c r="B306" s="1">
        <v>45692</v>
      </c>
      <c r="C306" s="1" t="s">
        <v>19</v>
      </c>
      <c r="D306" t="str">
        <f>_xlfn.XLOOKUP(C306,Company_table[Company_Name],Company_table[Company_ID])</f>
        <v>C002</v>
      </c>
      <c r="E306" t="s">
        <v>49</v>
      </c>
      <c r="F306" t="str">
        <f>_xlfn.XLOOKUP(E306,Account_table[Account_Name],Account_table[Account_ID])</f>
        <v>A007</v>
      </c>
      <c r="G306" t="s">
        <v>76</v>
      </c>
      <c r="H306" t="str">
        <f>_xlfn.XLOOKUP(G306,Cust_Vend_table[Party_Name],Cust_Vend_table[Party_ID])</f>
        <v>P008</v>
      </c>
      <c r="I306" t="s">
        <v>90</v>
      </c>
      <c r="J306" t="str">
        <f>_xlfn.XLOOKUP(I306,Dept_table[Department_Name],Dept_table[Department_ID])</f>
        <v>D004</v>
      </c>
      <c r="K306" t="s">
        <v>100</v>
      </c>
      <c r="L306" t="str">
        <f>_xlfn.XLOOKUP(K306,Payment_table[Payment_Mode],Payment_table[Payment_Mode_ID])</f>
        <v>PM02</v>
      </c>
      <c r="M306" t="s">
        <v>1028</v>
      </c>
      <c r="N306" t="s">
        <v>1029</v>
      </c>
      <c r="O306" s="3">
        <v>18104</v>
      </c>
      <c r="P306" s="3">
        <v>3258.72</v>
      </c>
      <c r="Q306" s="3">
        <v>21362.720000000001</v>
      </c>
      <c r="R306" t="s">
        <v>116</v>
      </c>
    </row>
    <row r="307" spans="1:18" x14ac:dyDescent="0.3">
      <c r="A307" t="s">
        <v>1030</v>
      </c>
      <c r="B307" s="1">
        <v>45814</v>
      </c>
      <c r="C307" s="1" t="s">
        <v>23</v>
      </c>
      <c r="D307" t="str">
        <f>_xlfn.XLOOKUP(C307,Company_table[Company_Name],Company_table[Company_ID])</f>
        <v>C003</v>
      </c>
      <c r="E307" t="s">
        <v>37</v>
      </c>
      <c r="F307" t="str">
        <f>_xlfn.XLOOKUP(E307,Account_table[Account_Name],Account_table[Account_ID])</f>
        <v>A003</v>
      </c>
      <c r="G307" t="s">
        <v>57</v>
      </c>
      <c r="H307" t="str">
        <f>_xlfn.XLOOKUP(G307,Cust_Vend_table[Party_Name],Cust_Vend_table[Party_ID])</f>
        <v>P001</v>
      </c>
      <c r="I307" t="s">
        <v>84</v>
      </c>
      <c r="J307" t="str">
        <f>_xlfn.XLOOKUP(I307,Dept_table[Department_Name],Dept_table[Department_ID])</f>
        <v>D002</v>
      </c>
      <c r="K307" t="s">
        <v>102</v>
      </c>
      <c r="L307" t="str">
        <f>_xlfn.XLOOKUP(K307,Payment_table[Payment_Mode],Payment_table[Payment_Mode_ID])</f>
        <v>PM03</v>
      </c>
      <c r="M307" t="s">
        <v>1031</v>
      </c>
      <c r="N307" t="s">
        <v>1032</v>
      </c>
      <c r="O307" s="3">
        <v>30484</v>
      </c>
      <c r="P307" s="3">
        <v>5487.12</v>
      </c>
      <c r="Q307" s="3">
        <v>35971.120000000003</v>
      </c>
      <c r="R307" t="s">
        <v>135</v>
      </c>
    </row>
    <row r="308" spans="1:18" x14ac:dyDescent="0.3">
      <c r="A308" t="s">
        <v>1033</v>
      </c>
      <c r="B308" s="1">
        <v>45965</v>
      </c>
      <c r="C308" s="1" t="s">
        <v>23</v>
      </c>
      <c r="D308" t="str">
        <f>_xlfn.XLOOKUP(C308,Company_table[Company_Name],Company_table[Company_ID])</f>
        <v>C003</v>
      </c>
      <c r="E308" t="s">
        <v>37</v>
      </c>
      <c r="F308" t="str">
        <f>_xlfn.XLOOKUP(E308,Account_table[Account_Name],Account_table[Account_ID])</f>
        <v>A003</v>
      </c>
      <c r="G308" t="s">
        <v>65</v>
      </c>
      <c r="H308" t="str">
        <f>_xlfn.XLOOKUP(G308,Cust_Vend_table[Party_Name],Cust_Vend_table[Party_ID])</f>
        <v>P004</v>
      </c>
      <c r="I308" t="s">
        <v>93</v>
      </c>
      <c r="J308" t="str">
        <f>_xlfn.XLOOKUP(I308,Dept_table[Department_Name],Dept_table[Department_ID])</f>
        <v>D005</v>
      </c>
      <c r="K308" t="s">
        <v>102</v>
      </c>
      <c r="L308" t="str">
        <f>_xlfn.XLOOKUP(K308,Payment_table[Payment_Mode],Payment_table[Payment_Mode_ID])</f>
        <v>PM03</v>
      </c>
      <c r="M308" t="s">
        <v>1034</v>
      </c>
      <c r="N308" t="s">
        <v>1035</v>
      </c>
      <c r="O308" s="3">
        <v>36637</v>
      </c>
      <c r="P308" s="3">
        <v>6594.66</v>
      </c>
      <c r="Q308" s="3">
        <v>43231.66</v>
      </c>
      <c r="R308" t="s">
        <v>135</v>
      </c>
    </row>
    <row r="309" spans="1:18" x14ac:dyDescent="0.3">
      <c r="A309" t="s">
        <v>1036</v>
      </c>
      <c r="B309" s="1">
        <v>45900</v>
      </c>
      <c r="C309" s="1" t="s">
        <v>23</v>
      </c>
      <c r="D309" t="str">
        <f>_xlfn.XLOOKUP(C309,Company_table[Company_Name],Company_table[Company_ID])</f>
        <v>C003</v>
      </c>
      <c r="E309" t="s">
        <v>37</v>
      </c>
      <c r="F309" t="str">
        <f>_xlfn.XLOOKUP(E309,Account_table[Account_Name],Account_table[Account_ID])</f>
        <v>A003</v>
      </c>
      <c r="G309" t="s">
        <v>57</v>
      </c>
      <c r="H309" t="str">
        <f>_xlfn.XLOOKUP(G309,Cust_Vend_table[Party_Name],Cust_Vend_table[Party_ID])</f>
        <v>P001</v>
      </c>
      <c r="I309" t="s">
        <v>87</v>
      </c>
      <c r="J309" t="str">
        <f>_xlfn.XLOOKUP(I309,Dept_table[Department_Name],Dept_table[Department_ID])</f>
        <v>D003</v>
      </c>
      <c r="K309" t="s">
        <v>102</v>
      </c>
      <c r="L309" t="str">
        <f>_xlfn.XLOOKUP(K309,Payment_table[Payment_Mode],Payment_table[Payment_Mode_ID])</f>
        <v>PM03</v>
      </c>
      <c r="M309" t="s">
        <v>1037</v>
      </c>
      <c r="N309" t="s">
        <v>1038</v>
      </c>
      <c r="O309" s="3">
        <v>13313</v>
      </c>
      <c r="P309" s="3">
        <v>2396.34</v>
      </c>
      <c r="Q309" s="3">
        <v>15709.34</v>
      </c>
      <c r="R309" t="s">
        <v>135</v>
      </c>
    </row>
    <row r="310" spans="1:18" x14ac:dyDescent="0.3">
      <c r="A310" t="s">
        <v>1039</v>
      </c>
      <c r="B310" s="1">
        <v>46016</v>
      </c>
      <c r="C310" s="1" t="s">
        <v>14</v>
      </c>
      <c r="D310" t="str">
        <f>_xlfn.XLOOKUP(C310,Company_table[Company_Name],Company_table[Company_ID])</f>
        <v>C001</v>
      </c>
      <c r="E310" t="s">
        <v>31</v>
      </c>
      <c r="F310" t="str">
        <f>_xlfn.XLOOKUP(E310,Account_table[Account_Name],Account_table[Account_ID])</f>
        <v>A001</v>
      </c>
      <c r="G310" t="s">
        <v>60</v>
      </c>
      <c r="H310" t="str">
        <f>_xlfn.XLOOKUP(G310,Cust_Vend_table[Party_Name],Cust_Vend_table[Party_ID])</f>
        <v>P002</v>
      </c>
      <c r="I310" t="s">
        <v>90</v>
      </c>
      <c r="J310" t="str">
        <f>_xlfn.XLOOKUP(I310,Dept_table[Department_Name],Dept_table[Department_ID])</f>
        <v>D004</v>
      </c>
      <c r="K310" t="s">
        <v>104</v>
      </c>
      <c r="L310" t="str">
        <f>_xlfn.XLOOKUP(K310,Payment_table[Payment_Mode],Payment_table[Payment_Mode_ID])</f>
        <v>PM04</v>
      </c>
      <c r="M310" t="s">
        <v>1040</v>
      </c>
      <c r="N310" t="s">
        <v>1041</v>
      </c>
      <c r="O310" s="3">
        <v>30762</v>
      </c>
      <c r="P310" s="3">
        <v>5537.16</v>
      </c>
      <c r="Q310" s="3">
        <v>36299.160000000003</v>
      </c>
      <c r="R310" t="s">
        <v>135</v>
      </c>
    </row>
    <row r="311" spans="1:18" x14ac:dyDescent="0.3">
      <c r="A311" t="s">
        <v>1042</v>
      </c>
      <c r="B311" s="1">
        <v>45969</v>
      </c>
      <c r="C311" s="1" t="s">
        <v>19</v>
      </c>
      <c r="D311" t="str">
        <f>_xlfn.XLOOKUP(C311,Company_table[Company_Name],Company_table[Company_ID])</f>
        <v>C002</v>
      </c>
      <c r="E311" t="s">
        <v>49</v>
      </c>
      <c r="F311" t="str">
        <f>_xlfn.XLOOKUP(E311,Account_table[Account_Name],Account_table[Account_ID])</f>
        <v>A007</v>
      </c>
      <c r="G311" t="s">
        <v>72</v>
      </c>
      <c r="H311" t="str">
        <f>_xlfn.XLOOKUP(G311,Cust_Vend_table[Party_Name],Cust_Vend_table[Party_ID])</f>
        <v>P006</v>
      </c>
      <c r="I311" t="s">
        <v>81</v>
      </c>
      <c r="J311" t="str">
        <f>_xlfn.XLOOKUP(I311,Dept_table[Department_Name],Dept_table[Department_ID])</f>
        <v>D001</v>
      </c>
      <c r="K311" t="s">
        <v>98</v>
      </c>
      <c r="L311" t="str">
        <f>_xlfn.XLOOKUP(K311,Payment_table[Payment_Mode],Payment_table[Payment_Mode_ID])</f>
        <v>PM01</v>
      </c>
      <c r="M311" t="s">
        <v>1043</v>
      </c>
      <c r="N311" t="s">
        <v>1044</v>
      </c>
      <c r="O311" s="3">
        <v>40913</v>
      </c>
      <c r="P311" s="3">
        <v>7364.34</v>
      </c>
      <c r="Q311" s="3">
        <v>48277.34</v>
      </c>
      <c r="R311" t="s">
        <v>116</v>
      </c>
    </row>
    <row r="312" spans="1:18" x14ac:dyDescent="0.3">
      <c r="A312" t="s">
        <v>1045</v>
      </c>
      <c r="B312" s="1">
        <v>46011</v>
      </c>
      <c r="C312" s="1" t="s">
        <v>19</v>
      </c>
      <c r="D312" t="str">
        <f>_xlfn.XLOOKUP(C312,Company_table[Company_Name],Company_table[Company_ID])</f>
        <v>C002</v>
      </c>
      <c r="E312" t="s">
        <v>35</v>
      </c>
      <c r="F312" t="str">
        <f>_xlfn.XLOOKUP(E312,Account_table[Account_Name],Account_table[Account_ID])</f>
        <v>A002</v>
      </c>
      <c r="G312" t="s">
        <v>62</v>
      </c>
      <c r="H312" t="str">
        <f>_xlfn.XLOOKUP(G312,Cust_Vend_table[Party_Name],Cust_Vend_table[Party_ID])</f>
        <v>P003</v>
      </c>
      <c r="I312" t="s">
        <v>84</v>
      </c>
      <c r="J312" t="str">
        <f>_xlfn.XLOOKUP(I312,Dept_table[Department_Name],Dept_table[Department_ID])</f>
        <v>D002</v>
      </c>
      <c r="K312" t="s">
        <v>98</v>
      </c>
      <c r="L312" t="str">
        <f>_xlfn.XLOOKUP(K312,Payment_table[Payment_Mode],Payment_table[Payment_Mode_ID])</f>
        <v>PM01</v>
      </c>
      <c r="M312" t="s">
        <v>1046</v>
      </c>
      <c r="N312" t="s">
        <v>1047</v>
      </c>
      <c r="O312" s="3">
        <v>47750</v>
      </c>
      <c r="P312" s="3">
        <v>8595</v>
      </c>
      <c r="Q312" s="3">
        <v>56345</v>
      </c>
      <c r="R312" t="s">
        <v>135</v>
      </c>
    </row>
    <row r="313" spans="1:18" x14ac:dyDescent="0.3">
      <c r="A313" t="s">
        <v>1048</v>
      </c>
      <c r="B313" s="1">
        <v>45925</v>
      </c>
      <c r="C313" s="1" t="s">
        <v>19</v>
      </c>
      <c r="D313" t="str">
        <f>_xlfn.XLOOKUP(C313,Company_table[Company_Name],Company_table[Company_ID])</f>
        <v>C002</v>
      </c>
      <c r="E313" t="s">
        <v>37</v>
      </c>
      <c r="F313" t="str">
        <f>_xlfn.XLOOKUP(E313,Account_table[Account_Name],Account_table[Account_ID])</f>
        <v>A003</v>
      </c>
      <c r="G313" t="s">
        <v>65</v>
      </c>
      <c r="H313" t="str">
        <f>_xlfn.XLOOKUP(G313,Cust_Vend_table[Party_Name],Cust_Vend_table[Party_ID])</f>
        <v>P004</v>
      </c>
      <c r="I313" t="s">
        <v>81</v>
      </c>
      <c r="J313" t="str">
        <f>_xlfn.XLOOKUP(I313,Dept_table[Department_Name],Dept_table[Department_ID])</f>
        <v>D001</v>
      </c>
      <c r="K313" t="s">
        <v>102</v>
      </c>
      <c r="L313" t="str">
        <f>_xlfn.XLOOKUP(K313,Payment_table[Payment_Mode],Payment_table[Payment_Mode_ID])</f>
        <v>PM03</v>
      </c>
      <c r="M313" t="s">
        <v>1049</v>
      </c>
      <c r="N313" t="s">
        <v>1050</v>
      </c>
      <c r="O313" s="3">
        <v>43013</v>
      </c>
      <c r="P313" s="3">
        <v>7742.34</v>
      </c>
      <c r="Q313" s="3">
        <v>50755.34</v>
      </c>
      <c r="R313" t="s">
        <v>135</v>
      </c>
    </row>
    <row r="314" spans="1:18" x14ac:dyDescent="0.3">
      <c r="A314" t="s">
        <v>1051</v>
      </c>
      <c r="B314" s="1">
        <v>46071</v>
      </c>
      <c r="C314" s="1" t="s">
        <v>14</v>
      </c>
      <c r="D314" t="str">
        <f>_xlfn.XLOOKUP(C314,Company_table[Company_Name],Company_table[Company_ID])</f>
        <v>C001</v>
      </c>
      <c r="E314" t="s">
        <v>44</v>
      </c>
      <c r="F314" t="str">
        <f>_xlfn.XLOOKUP(E314,Account_table[Account_Name],Account_table[Account_ID])</f>
        <v>A005</v>
      </c>
      <c r="G314" t="s">
        <v>72</v>
      </c>
      <c r="H314" t="str">
        <f>_xlfn.XLOOKUP(G314,Cust_Vend_table[Party_Name],Cust_Vend_table[Party_ID])</f>
        <v>P006</v>
      </c>
      <c r="I314" t="s">
        <v>93</v>
      </c>
      <c r="J314" t="str">
        <f>_xlfn.XLOOKUP(I314,Dept_table[Department_Name],Dept_table[Department_ID])</f>
        <v>D005</v>
      </c>
      <c r="K314" t="s">
        <v>102</v>
      </c>
      <c r="L314" t="str">
        <f>_xlfn.XLOOKUP(K314,Payment_table[Payment_Mode],Payment_table[Payment_Mode_ID])</f>
        <v>PM03</v>
      </c>
      <c r="M314" t="s">
        <v>1052</v>
      </c>
      <c r="N314" t="s">
        <v>1053</v>
      </c>
      <c r="O314" s="3">
        <v>27658</v>
      </c>
      <c r="P314" s="3">
        <v>4978.4399999999996</v>
      </c>
      <c r="Q314" s="3">
        <v>32636.44</v>
      </c>
      <c r="R314" t="s">
        <v>116</v>
      </c>
    </row>
    <row r="315" spans="1:18" x14ac:dyDescent="0.3">
      <c r="A315" t="s">
        <v>1054</v>
      </c>
      <c r="B315" s="1">
        <v>45999</v>
      </c>
      <c r="C315" s="1" t="s">
        <v>23</v>
      </c>
      <c r="D315" t="str">
        <f>_xlfn.XLOOKUP(C315,Company_table[Company_Name],Company_table[Company_ID])</f>
        <v>C003</v>
      </c>
      <c r="E315" t="s">
        <v>31</v>
      </c>
      <c r="F315" t="str">
        <f>_xlfn.XLOOKUP(E315,Account_table[Account_Name],Account_table[Account_ID])</f>
        <v>A001</v>
      </c>
      <c r="G315" t="s">
        <v>60</v>
      </c>
      <c r="H315" t="str">
        <f>_xlfn.XLOOKUP(G315,Cust_Vend_table[Party_Name],Cust_Vend_table[Party_ID])</f>
        <v>P002</v>
      </c>
      <c r="I315" t="s">
        <v>87</v>
      </c>
      <c r="J315" t="str">
        <f>_xlfn.XLOOKUP(I315,Dept_table[Department_Name],Dept_table[Department_ID])</f>
        <v>D003</v>
      </c>
      <c r="K315" t="s">
        <v>100</v>
      </c>
      <c r="L315" t="str">
        <f>_xlfn.XLOOKUP(K315,Payment_table[Payment_Mode],Payment_table[Payment_Mode_ID])</f>
        <v>PM02</v>
      </c>
      <c r="M315" t="s">
        <v>1055</v>
      </c>
      <c r="N315" t="s">
        <v>1056</v>
      </c>
      <c r="O315" s="3">
        <v>24834</v>
      </c>
      <c r="P315" s="3">
        <v>4470.12</v>
      </c>
      <c r="Q315" s="3">
        <v>29304.12</v>
      </c>
      <c r="R315" t="s">
        <v>135</v>
      </c>
    </row>
    <row r="316" spans="1:18" x14ac:dyDescent="0.3">
      <c r="A316" t="s">
        <v>1057</v>
      </c>
      <c r="B316" s="1">
        <v>45925</v>
      </c>
      <c r="C316" s="1" t="s">
        <v>19</v>
      </c>
      <c r="D316" t="str">
        <f>_xlfn.XLOOKUP(C316,Company_table[Company_Name],Company_table[Company_ID])</f>
        <v>C002</v>
      </c>
      <c r="E316" t="s">
        <v>37</v>
      </c>
      <c r="F316" t="str">
        <f>_xlfn.XLOOKUP(E316,Account_table[Account_Name],Account_table[Account_ID])</f>
        <v>A003</v>
      </c>
      <c r="G316" t="s">
        <v>57</v>
      </c>
      <c r="H316" t="str">
        <f>_xlfn.XLOOKUP(G316,Cust_Vend_table[Party_Name],Cust_Vend_table[Party_ID])</f>
        <v>P001</v>
      </c>
      <c r="I316" t="s">
        <v>84</v>
      </c>
      <c r="J316" t="str">
        <f>_xlfn.XLOOKUP(I316,Dept_table[Department_Name],Dept_table[Department_ID])</f>
        <v>D002</v>
      </c>
      <c r="K316" t="s">
        <v>102</v>
      </c>
      <c r="L316" t="str">
        <f>_xlfn.XLOOKUP(K316,Payment_table[Payment_Mode],Payment_table[Payment_Mode_ID])</f>
        <v>PM03</v>
      </c>
      <c r="M316" t="s">
        <v>1058</v>
      </c>
      <c r="N316" t="s">
        <v>1059</v>
      </c>
      <c r="O316" s="3">
        <v>18925</v>
      </c>
      <c r="P316" s="3">
        <v>3406.5</v>
      </c>
      <c r="Q316" s="3">
        <v>22331.5</v>
      </c>
      <c r="R316" t="s">
        <v>135</v>
      </c>
    </row>
    <row r="317" spans="1:18" x14ac:dyDescent="0.3">
      <c r="A317" t="s">
        <v>1060</v>
      </c>
      <c r="B317" s="1">
        <v>45916</v>
      </c>
      <c r="C317" s="1" t="s">
        <v>19</v>
      </c>
      <c r="D317" t="str">
        <f>_xlfn.XLOOKUP(C317,Company_table[Company_Name],Company_table[Company_ID])</f>
        <v>C002</v>
      </c>
      <c r="E317" t="s">
        <v>31</v>
      </c>
      <c r="F317" t="str">
        <f>_xlfn.XLOOKUP(E317,Account_table[Account_Name],Account_table[Account_ID])</f>
        <v>A001</v>
      </c>
      <c r="G317" t="s">
        <v>62</v>
      </c>
      <c r="H317" t="str">
        <f>_xlfn.XLOOKUP(G317,Cust_Vend_table[Party_Name],Cust_Vend_table[Party_ID])</f>
        <v>P003</v>
      </c>
      <c r="I317" t="s">
        <v>81</v>
      </c>
      <c r="J317" t="str">
        <f>_xlfn.XLOOKUP(I317,Dept_table[Department_Name],Dept_table[Department_ID])</f>
        <v>D001</v>
      </c>
      <c r="K317" t="s">
        <v>100</v>
      </c>
      <c r="L317" t="str">
        <f>_xlfn.XLOOKUP(K317,Payment_table[Payment_Mode],Payment_table[Payment_Mode_ID])</f>
        <v>PM02</v>
      </c>
      <c r="M317" t="s">
        <v>1061</v>
      </c>
      <c r="N317" t="s">
        <v>1062</v>
      </c>
      <c r="O317" s="3">
        <v>46394</v>
      </c>
      <c r="P317" s="3">
        <v>8350.92</v>
      </c>
      <c r="Q317" s="3">
        <v>54744.92</v>
      </c>
      <c r="R317" t="s">
        <v>135</v>
      </c>
    </row>
    <row r="318" spans="1:18" x14ac:dyDescent="0.3">
      <c r="A318" t="s">
        <v>1063</v>
      </c>
      <c r="B318" s="1">
        <v>46068</v>
      </c>
      <c r="C318" s="1" t="s">
        <v>23</v>
      </c>
      <c r="D318" t="str">
        <f>_xlfn.XLOOKUP(C318,Company_table[Company_Name],Company_table[Company_ID])</f>
        <v>C003</v>
      </c>
      <c r="E318" t="s">
        <v>37</v>
      </c>
      <c r="F318" t="str">
        <f>_xlfn.XLOOKUP(E318,Account_table[Account_Name],Account_table[Account_ID])</f>
        <v>A003</v>
      </c>
      <c r="G318" t="s">
        <v>57</v>
      </c>
      <c r="H318" t="str">
        <f>_xlfn.XLOOKUP(G318,Cust_Vend_table[Party_Name],Cust_Vend_table[Party_ID])</f>
        <v>P001</v>
      </c>
      <c r="I318" t="s">
        <v>93</v>
      </c>
      <c r="J318" t="str">
        <f>_xlfn.XLOOKUP(I318,Dept_table[Department_Name],Dept_table[Department_ID])</f>
        <v>D005</v>
      </c>
      <c r="K318" t="s">
        <v>104</v>
      </c>
      <c r="L318" t="str">
        <f>_xlfn.XLOOKUP(K318,Payment_table[Payment_Mode],Payment_table[Payment_Mode_ID])</f>
        <v>PM04</v>
      </c>
      <c r="M318" t="s">
        <v>1064</v>
      </c>
      <c r="N318" t="s">
        <v>1065</v>
      </c>
      <c r="O318" s="3">
        <v>28358</v>
      </c>
      <c r="P318" s="3">
        <v>5104.4399999999996</v>
      </c>
      <c r="Q318" s="3">
        <v>33462.44</v>
      </c>
      <c r="R318" t="s">
        <v>135</v>
      </c>
    </row>
    <row r="319" spans="1:18" x14ac:dyDescent="0.3">
      <c r="A319" t="s">
        <v>1066</v>
      </c>
      <c r="B319" s="1">
        <v>46016</v>
      </c>
      <c r="C319" s="1" t="s">
        <v>19</v>
      </c>
      <c r="D319" t="str">
        <f>_xlfn.XLOOKUP(C319,Company_table[Company_Name],Company_table[Company_ID])</f>
        <v>C002</v>
      </c>
      <c r="E319" t="s">
        <v>49</v>
      </c>
      <c r="F319" t="str">
        <f>_xlfn.XLOOKUP(E319,Account_table[Account_Name],Account_table[Account_ID])</f>
        <v>A007</v>
      </c>
      <c r="G319" t="s">
        <v>69</v>
      </c>
      <c r="H319" t="str">
        <f>_xlfn.XLOOKUP(G319,Cust_Vend_table[Party_Name],Cust_Vend_table[Party_ID])</f>
        <v>P005</v>
      </c>
      <c r="I319" t="s">
        <v>90</v>
      </c>
      <c r="J319" t="str">
        <f>_xlfn.XLOOKUP(I319,Dept_table[Department_Name],Dept_table[Department_ID])</f>
        <v>D004</v>
      </c>
      <c r="K319" t="s">
        <v>102</v>
      </c>
      <c r="L319" t="str">
        <f>_xlfn.XLOOKUP(K319,Payment_table[Payment_Mode],Payment_table[Payment_Mode_ID])</f>
        <v>PM03</v>
      </c>
      <c r="M319" t="s">
        <v>1067</v>
      </c>
      <c r="N319" t="s">
        <v>1068</v>
      </c>
      <c r="O319" s="3">
        <v>24202</v>
      </c>
      <c r="P319" s="3">
        <v>4356.3599999999997</v>
      </c>
      <c r="Q319" s="3">
        <v>28558.36</v>
      </c>
      <c r="R319" t="s">
        <v>116</v>
      </c>
    </row>
    <row r="320" spans="1:18" x14ac:dyDescent="0.3">
      <c r="A320" t="s">
        <v>1069</v>
      </c>
      <c r="B320" s="1">
        <v>45960</v>
      </c>
      <c r="C320" s="1" t="s">
        <v>19</v>
      </c>
      <c r="D320" t="str">
        <f>_xlfn.XLOOKUP(C320,Company_table[Company_Name],Company_table[Company_ID])</f>
        <v>C002</v>
      </c>
      <c r="E320" t="s">
        <v>40</v>
      </c>
      <c r="F320" t="str">
        <f>_xlfn.XLOOKUP(E320,Account_table[Account_Name],Account_table[Account_ID])</f>
        <v>A004</v>
      </c>
      <c r="G320" t="s">
        <v>76</v>
      </c>
      <c r="H320" t="str">
        <f>_xlfn.XLOOKUP(G320,Cust_Vend_table[Party_Name],Cust_Vend_table[Party_ID])</f>
        <v>P008</v>
      </c>
      <c r="I320" t="s">
        <v>90</v>
      </c>
      <c r="J320" t="str">
        <f>_xlfn.XLOOKUP(I320,Dept_table[Department_Name],Dept_table[Department_ID])</f>
        <v>D004</v>
      </c>
      <c r="K320" t="s">
        <v>104</v>
      </c>
      <c r="L320" t="str">
        <f>_xlfn.XLOOKUP(K320,Payment_table[Payment_Mode],Payment_table[Payment_Mode_ID])</f>
        <v>PM04</v>
      </c>
      <c r="M320" t="s">
        <v>1070</v>
      </c>
      <c r="N320" t="s">
        <v>1071</v>
      </c>
      <c r="O320" s="3">
        <v>7452</v>
      </c>
      <c r="P320" s="3">
        <v>1341.36</v>
      </c>
      <c r="Q320" s="3">
        <v>8793.36</v>
      </c>
      <c r="R320" t="s">
        <v>116</v>
      </c>
    </row>
    <row r="321" spans="1:18" x14ac:dyDescent="0.3">
      <c r="A321" t="s">
        <v>1072</v>
      </c>
      <c r="B321" s="1">
        <v>45815</v>
      </c>
      <c r="C321" s="1" t="s">
        <v>23</v>
      </c>
      <c r="D321" t="str">
        <f>_xlfn.XLOOKUP(C321,Company_table[Company_Name],Company_table[Company_ID])</f>
        <v>C003</v>
      </c>
      <c r="E321" t="s">
        <v>44</v>
      </c>
      <c r="F321" t="str">
        <f>_xlfn.XLOOKUP(E321,Account_table[Account_Name],Account_table[Account_ID])</f>
        <v>A005</v>
      </c>
      <c r="G321" t="s">
        <v>72</v>
      </c>
      <c r="H321" t="str">
        <f>_xlfn.XLOOKUP(G321,Cust_Vend_table[Party_Name],Cust_Vend_table[Party_ID])</f>
        <v>P006</v>
      </c>
      <c r="I321" t="s">
        <v>90</v>
      </c>
      <c r="J321" t="str">
        <f>_xlfn.XLOOKUP(I321,Dept_table[Department_Name],Dept_table[Department_ID])</f>
        <v>D004</v>
      </c>
      <c r="K321" t="s">
        <v>98</v>
      </c>
      <c r="L321" t="str">
        <f>_xlfn.XLOOKUP(K321,Payment_table[Payment_Mode],Payment_table[Payment_Mode_ID])</f>
        <v>PM01</v>
      </c>
      <c r="M321" t="s">
        <v>1073</v>
      </c>
      <c r="N321" t="s">
        <v>1074</v>
      </c>
      <c r="O321" s="3">
        <v>2365</v>
      </c>
      <c r="P321" s="3">
        <v>425.7</v>
      </c>
      <c r="Q321" s="3">
        <v>2790.7</v>
      </c>
      <c r="R321" t="s">
        <v>116</v>
      </c>
    </row>
    <row r="322" spans="1:18" x14ac:dyDescent="0.3">
      <c r="A322" t="s">
        <v>1075</v>
      </c>
      <c r="B322" s="1">
        <v>45677</v>
      </c>
      <c r="C322" s="1" t="s">
        <v>23</v>
      </c>
      <c r="D322" t="str">
        <f>_xlfn.XLOOKUP(C322,Company_table[Company_Name],Company_table[Company_ID])</f>
        <v>C003</v>
      </c>
      <c r="E322" t="s">
        <v>47</v>
      </c>
      <c r="F322" t="str">
        <f>_xlfn.XLOOKUP(E322,Account_table[Account_Name],Account_table[Account_ID])</f>
        <v>A006</v>
      </c>
      <c r="G322" t="s">
        <v>76</v>
      </c>
      <c r="H322" t="str">
        <f>_xlfn.XLOOKUP(G322,Cust_Vend_table[Party_Name],Cust_Vend_table[Party_ID])</f>
        <v>P008</v>
      </c>
      <c r="I322" t="s">
        <v>84</v>
      </c>
      <c r="J322" t="str">
        <f>_xlfn.XLOOKUP(I322,Dept_table[Department_Name],Dept_table[Department_ID])</f>
        <v>D002</v>
      </c>
      <c r="K322" t="s">
        <v>102</v>
      </c>
      <c r="L322" t="str">
        <f>_xlfn.XLOOKUP(K322,Payment_table[Payment_Mode],Payment_table[Payment_Mode_ID])</f>
        <v>PM03</v>
      </c>
      <c r="M322" t="s">
        <v>1076</v>
      </c>
      <c r="N322" t="s">
        <v>1077</v>
      </c>
      <c r="O322" s="3">
        <v>12173</v>
      </c>
      <c r="P322" s="3">
        <v>2191.14</v>
      </c>
      <c r="Q322" s="3">
        <v>14364.14</v>
      </c>
      <c r="R322" t="s">
        <v>116</v>
      </c>
    </row>
    <row r="323" spans="1:18" x14ac:dyDescent="0.3">
      <c r="A323" t="s">
        <v>1078</v>
      </c>
      <c r="B323" s="1">
        <v>45862</v>
      </c>
      <c r="C323" s="1" t="s">
        <v>14</v>
      </c>
      <c r="D323" t="str">
        <f>_xlfn.XLOOKUP(C323,Company_table[Company_Name],Company_table[Company_ID])</f>
        <v>C001</v>
      </c>
      <c r="E323" t="s">
        <v>47</v>
      </c>
      <c r="F323" t="str">
        <f>_xlfn.XLOOKUP(E323,Account_table[Account_Name],Account_table[Account_ID])</f>
        <v>A006</v>
      </c>
      <c r="G323" t="s">
        <v>76</v>
      </c>
      <c r="H323" t="str">
        <f>_xlfn.XLOOKUP(G323,Cust_Vend_table[Party_Name],Cust_Vend_table[Party_ID])</f>
        <v>P008</v>
      </c>
      <c r="I323" t="s">
        <v>87</v>
      </c>
      <c r="J323" t="str">
        <f>_xlfn.XLOOKUP(I323,Dept_table[Department_Name],Dept_table[Department_ID])</f>
        <v>D003</v>
      </c>
      <c r="K323" t="s">
        <v>98</v>
      </c>
      <c r="L323" t="str">
        <f>_xlfn.XLOOKUP(K323,Payment_table[Payment_Mode],Payment_table[Payment_Mode_ID])</f>
        <v>PM01</v>
      </c>
      <c r="M323" t="s">
        <v>1079</v>
      </c>
      <c r="N323" t="s">
        <v>1080</v>
      </c>
      <c r="O323" s="3">
        <v>22277</v>
      </c>
      <c r="P323" s="3">
        <v>4009.86</v>
      </c>
      <c r="Q323" s="3">
        <v>26286.86</v>
      </c>
      <c r="R323" t="s">
        <v>116</v>
      </c>
    </row>
    <row r="324" spans="1:18" x14ac:dyDescent="0.3">
      <c r="A324" t="s">
        <v>1081</v>
      </c>
      <c r="B324" s="1">
        <v>45842</v>
      </c>
      <c r="C324" s="1" t="s">
        <v>14</v>
      </c>
      <c r="D324" t="str">
        <f>_xlfn.XLOOKUP(C324,Company_table[Company_Name],Company_table[Company_ID])</f>
        <v>C001</v>
      </c>
      <c r="E324" t="s">
        <v>31</v>
      </c>
      <c r="F324" t="str">
        <f>_xlfn.XLOOKUP(E324,Account_table[Account_Name],Account_table[Account_ID])</f>
        <v>A001</v>
      </c>
      <c r="G324" t="s">
        <v>57</v>
      </c>
      <c r="H324" t="str">
        <f>_xlfn.XLOOKUP(G324,Cust_Vend_table[Party_Name],Cust_Vend_table[Party_ID])</f>
        <v>P001</v>
      </c>
      <c r="I324" t="s">
        <v>90</v>
      </c>
      <c r="J324" t="str">
        <f>_xlfn.XLOOKUP(I324,Dept_table[Department_Name],Dept_table[Department_ID])</f>
        <v>D004</v>
      </c>
      <c r="K324" t="s">
        <v>104</v>
      </c>
      <c r="L324" t="str">
        <f>_xlfn.XLOOKUP(K324,Payment_table[Payment_Mode],Payment_table[Payment_Mode_ID])</f>
        <v>PM04</v>
      </c>
      <c r="M324" t="s">
        <v>1082</v>
      </c>
      <c r="N324" t="s">
        <v>1083</v>
      </c>
      <c r="O324" s="3">
        <v>27708</v>
      </c>
      <c r="P324" s="3">
        <v>4987.4399999999996</v>
      </c>
      <c r="Q324" s="3">
        <v>32695.439999999999</v>
      </c>
      <c r="R324" t="s">
        <v>135</v>
      </c>
    </row>
    <row r="325" spans="1:18" x14ac:dyDescent="0.3">
      <c r="A325" t="s">
        <v>1084</v>
      </c>
      <c r="B325" s="1">
        <v>46025</v>
      </c>
      <c r="C325" s="1" t="s">
        <v>14</v>
      </c>
      <c r="D325" t="str">
        <f>_xlfn.XLOOKUP(C325,Company_table[Company_Name],Company_table[Company_ID])</f>
        <v>C001</v>
      </c>
      <c r="E325" t="s">
        <v>37</v>
      </c>
      <c r="F325" t="str">
        <f>_xlfn.XLOOKUP(E325,Account_table[Account_Name],Account_table[Account_ID])</f>
        <v>A003</v>
      </c>
      <c r="G325" t="s">
        <v>65</v>
      </c>
      <c r="H325" t="str">
        <f>_xlfn.XLOOKUP(G325,Cust_Vend_table[Party_Name],Cust_Vend_table[Party_ID])</f>
        <v>P004</v>
      </c>
      <c r="I325" t="s">
        <v>84</v>
      </c>
      <c r="J325" t="str">
        <f>_xlfn.XLOOKUP(I325,Dept_table[Department_Name],Dept_table[Department_ID])</f>
        <v>D002</v>
      </c>
      <c r="K325" t="s">
        <v>100</v>
      </c>
      <c r="L325" t="str">
        <f>_xlfn.XLOOKUP(K325,Payment_table[Payment_Mode],Payment_table[Payment_Mode_ID])</f>
        <v>PM02</v>
      </c>
      <c r="M325" t="s">
        <v>1085</v>
      </c>
      <c r="N325" t="s">
        <v>1086</v>
      </c>
      <c r="O325" s="3">
        <v>43629</v>
      </c>
      <c r="P325" s="3">
        <v>7853.22</v>
      </c>
      <c r="Q325" s="3">
        <v>51482.22</v>
      </c>
      <c r="R325" t="s">
        <v>135</v>
      </c>
    </row>
    <row r="326" spans="1:18" x14ac:dyDescent="0.3">
      <c r="A326" t="s">
        <v>1087</v>
      </c>
      <c r="B326" s="1">
        <v>46022</v>
      </c>
      <c r="C326" s="1" t="s">
        <v>23</v>
      </c>
      <c r="D326" t="str">
        <f>_xlfn.XLOOKUP(C326,Company_table[Company_Name],Company_table[Company_ID])</f>
        <v>C003</v>
      </c>
      <c r="E326" t="s">
        <v>51</v>
      </c>
      <c r="F326" t="str">
        <f>_xlfn.XLOOKUP(E326,Account_table[Account_Name],Account_table[Account_ID])</f>
        <v>A008</v>
      </c>
      <c r="G326" t="s">
        <v>74</v>
      </c>
      <c r="H326" t="str">
        <f>_xlfn.XLOOKUP(G326,Cust_Vend_table[Party_Name],Cust_Vend_table[Party_ID])</f>
        <v>P007</v>
      </c>
      <c r="I326" t="s">
        <v>87</v>
      </c>
      <c r="J326" t="str">
        <f>_xlfn.XLOOKUP(I326,Dept_table[Department_Name],Dept_table[Department_ID])</f>
        <v>D003</v>
      </c>
      <c r="K326" t="s">
        <v>102</v>
      </c>
      <c r="L326" t="str">
        <f>_xlfn.XLOOKUP(K326,Payment_table[Payment_Mode],Payment_table[Payment_Mode_ID])</f>
        <v>PM03</v>
      </c>
      <c r="M326" t="s">
        <v>1088</v>
      </c>
      <c r="N326" t="s">
        <v>1089</v>
      </c>
      <c r="O326" s="3">
        <v>49596</v>
      </c>
      <c r="P326" s="3">
        <v>8927.2800000000007</v>
      </c>
      <c r="Q326" s="3">
        <v>58523.28</v>
      </c>
      <c r="R326" t="s">
        <v>116</v>
      </c>
    </row>
    <row r="327" spans="1:18" x14ac:dyDescent="0.3">
      <c r="A327" t="s">
        <v>1090</v>
      </c>
      <c r="B327" s="1">
        <v>46010</v>
      </c>
      <c r="C327" s="1" t="s">
        <v>19</v>
      </c>
      <c r="D327" t="str">
        <f>_xlfn.XLOOKUP(C327,Company_table[Company_Name],Company_table[Company_ID])</f>
        <v>C002</v>
      </c>
      <c r="E327" t="s">
        <v>51</v>
      </c>
      <c r="F327" t="str">
        <f>_xlfn.XLOOKUP(E327,Account_table[Account_Name],Account_table[Account_ID])</f>
        <v>A008</v>
      </c>
      <c r="G327" t="s">
        <v>69</v>
      </c>
      <c r="H327" t="str">
        <f>_xlfn.XLOOKUP(G327,Cust_Vend_table[Party_Name],Cust_Vend_table[Party_ID])</f>
        <v>P005</v>
      </c>
      <c r="I327" t="s">
        <v>93</v>
      </c>
      <c r="J327" t="str">
        <f>_xlfn.XLOOKUP(I327,Dept_table[Department_Name],Dept_table[Department_ID])</f>
        <v>D005</v>
      </c>
      <c r="K327" t="s">
        <v>102</v>
      </c>
      <c r="L327" t="str">
        <f>_xlfn.XLOOKUP(K327,Payment_table[Payment_Mode],Payment_table[Payment_Mode_ID])</f>
        <v>PM03</v>
      </c>
      <c r="M327" t="s">
        <v>1091</v>
      </c>
      <c r="N327" t="s">
        <v>1092</v>
      </c>
      <c r="O327" s="3">
        <v>40306</v>
      </c>
      <c r="P327" s="3">
        <v>7255.08</v>
      </c>
      <c r="Q327" s="3">
        <v>47561.08</v>
      </c>
      <c r="R327" t="s">
        <v>116</v>
      </c>
    </row>
    <row r="328" spans="1:18" x14ac:dyDescent="0.3">
      <c r="A328" t="s">
        <v>1093</v>
      </c>
      <c r="B328" s="1">
        <v>45708</v>
      </c>
      <c r="C328" s="1" t="s">
        <v>14</v>
      </c>
      <c r="D328" t="str">
        <f>_xlfn.XLOOKUP(C328,Company_table[Company_Name],Company_table[Company_ID])</f>
        <v>C001</v>
      </c>
      <c r="E328" t="s">
        <v>51</v>
      </c>
      <c r="F328" t="str">
        <f>_xlfn.XLOOKUP(E328,Account_table[Account_Name],Account_table[Account_ID])</f>
        <v>A008</v>
      </c>
      <c r="G328" t="s">
        <v>74</v>
      </c>
      <c r="H328" t="str">
        <f>_xlfn.XLOOKUP(G328,Cust_Vend_table[Party_Name],Cust_Vend_table[Party_ID])</f>
        <v>P007</v>
      </c>
      <c r="I328" t="s">
        <v>84</v>
      </c>
      <c r="J328" t="str">
        <f>_xlfn.XLOOKUP(I328,Dept_table[Department_Name],Dept_table[Department_ID])</f>
        <v>D002</v>
      </c>
      <c r="K328" t="s">
        <v>100</v>
      </c>
      <c r="L328" t="str">
        <f>_xlfn.XLOOKUP(K328,Payment_table[Payment_Mode],Payment_table[Payment_Mode_ID])</f>
        <v>PM02</v>
      </c>
      <c r="M328" t="s">
        <v>1094</v>
      </c>
      <c r="N328" t="s">
        <v>1095</v>
      </c>
      <c r="O328" s="3">
        <v>38511</v>
      </c>
      <c r="P328" s="3">
        <v>6931.98</v>
      </c>
      <c r="Q328" s="3">
        <v>45442.98</v>
      </c>
      <c r="R328" t="s">
        <v>116</v>
      </c>
    </row>
    <row r="329" spans="1:18" x14ac:dyDescent="0.3">
      <c r="A329" t="s">
        <v>1096</v>
      </c>
      <c r="B329" s="1">
        <v>45987</v>
      </c>
      <c r="C329" s="1" t="s">
        <v>19</v>
      </c>
      <c r="D329" t="str">
        <f>_xlfn.XLOOKUP(C329,Company_table[Company_Name],Company_table[Company_ID])</f>
        <v>C002</v>
      </c>
      <c r="E329" t="s">
        <v>49</v>
      </c>
      <c r="F329" t="str">
        <f>_xlfn.XLOOKUP(E329,Account_table[Account_Name],Account_table[Account_ID])</f>
        <v>A007</v>
      </c>
      <c r="G329" t="s">
        <v>74</v>
      </c>
      <c r="H329" t="str">
        <f>_xlfn.XLOOKUP(G329,Cust_Vend_table[Party_Name],Cust_Vend_table[Party_ID])</f>
        <v>P007</v>
      </c>
      <c r="I329" t="s">
        <v>84</v>
      </c>
      <c r="J329" t="str">
        <f>_xlfn.XLOOKUP(I329,Dept_table[Department_Name],Dept_table[Department_ID])</f>
        <v>D002</v>
      </c>
      <c r="K329" t="s">
        <v>102</v>
      </c>
      <c r="L329" t="str">
        <f>_xlfn.XLOOKUP(K329,Payment_table[Payment_Mode],Payment_table[Payment_Mode_ID])</f>
        <v>PM03</v>
      </c>
      <c r="M329" t="s">
        <v>1097</v>
      </c>
      <c r="N329" t="s">
        <v>1098</v>
      </c>
      <c r="O329" s="3">
        <v>16482</v>
      </c>
      <c r="P329" s="3">
        <v>2966.76</v>
      </c>
      <c r="Q329" s="3">
        <v>19448.759999999998</v>
      </c>
      <c r="R329" t="s">
        <v>116</v>
      </c>
    </row>
    <row r="330" spans="1:18" x14ac:dyDescent="0.3">
      <c r="A330" t="s">
        <v>1099</v>
      </c>
      <c r="B330" s="1">
        <v>45867</v>
      </c>
      <c r="C330" s="1" t="s">
        <v>14</v>
      </c>
      <c r="D330" t="str">
        <f>_xlfn.XLOOKUP(C330,Company_table[Company_Name],Company_table[Company_ID])</f>
        <v>C001</v>
      </c>
      <c r="E330" t="s">
        <v>40</v>
      </c>
      <c r="F330" t="str">
        <f>_xlfn.XLOOKUP(E330,Account_table[Account_Name],Account_table[Account_ID])</f>
        <v>A004</v>
      </c>
      <c r="G330" t="s">
        <v>69</v>
      </c>
      <c r="H330" t="str">
        <f>_xlfn.XLOOKUP(G330,Cust_Vend_table[Party_Name],Cust_Vend_table[Party_ID])</f>
        <v>P005</v>
      </c>
      <c r="I330" t="s">
        <v>90</v>
      </c>
      <c r="J330" t="str">
        <f>_xlfn.XLOOKUP(I330,Dept_table[Department_Name],Dept_table[Department_ID])</f>
        <v>D004</v>
      </c>
      <c r="K330" t="s">
        <v>104</v>
      </c>
      <c r="L330" t="str">
        <f>_xlfn.XLOOKUP(K330,Payment_table[Payment_Mode],Payment_table[Payment_Mode_ID])</f>
        <v>PM04</v>
      </c>
      <c r="M330" t="s">
        <v>1100</v>
      </c>
      <c r="N330" t="s">
        <v>1101</v>
      </c>
      <c r="O330" s="3">
        <v>44241</v>
      </c>
      <c r="P330" s="3">
        <v>7963.38</v>
      </c>
      <c r="Q330" s="3">
        <v>52204.38</v>
      </c>
      <c r="R330" t="s">
        <v>116</v>
      </c>
    </row>
    <row r="331" spans="1:18" x14ac:dyDescent="0.3">
      <c r="A331" t="s">
        <v>1102</v>
      </c>
      <c r="B331" s="1">
        <v>45727</v>
      </c>
      <c r="C331" s="1" t="s">
        <v>14</v>
      </c>
      <c r="D331" t="str">
        <f>_xlfn.XLOOKUP(C331,Company_table[Company_Name],Company_table[Company_ID])</f>
        <v>C001</v>
      </c>
      <c r="E331" t="s">
        <v>37</v>
      </c>
      <c r="F331" t="str">
        <f>_xlfn.XLOOKUP(E331,Account_table[Account_Name],Account_table[Account_ID])</f>
        <v>A003</v>
      </c>
      <c r="G331" t="s">
        <v>62</v>
      </c>
      <c r="H331" t="str">
        <f>_xlfn.XLOOKUP(G331,Cust_Vend_table[Party_Name],Cust_Vend_table[Party_ID])</f>
        <v>P003</v>
      </c>
      <c r="I331" t="s">
        <v>90</v>
      </c>
      <c r="J331" t="str">
        <f>_xlfn.XLOOKUP(I331,Dept_table[Department_Name],Dept_table[Department_ID])</f>
        <v>D004</v>
      </c>
      <c r="K331" t="s">
        <v>98</v>
      </c>
      <c r="L331" t="str">
        <f>_xlfn.XLOOKUP(K331,Payment_table[Payment_Mode],Payment_table[Payment_Mode_ID])</f>
        <v>PM01</v>
      </c>
      <c r="M331" t="s">
        <v>1103</v>
      </c>
      <c r="N331" t="s">
        <v>1104</v>
      </c>
      <c r="O331" s="3">
        <v>12358</v>
      </c>
      <c r="P331" s="3">
        <v>2224.44</v>
      </c>
      <c r="Q331" s="3">
        <v>14582.44</v>
      </c>
      <c r="R331" t="s">
        <v>135</v>
      </c>
    </row>
    <row r="332" spans="1:18" x14ac:dyDescent="0.3">
      <c r="A332" t="s">
        <v>1105</v>
      </c>
      <c r="B332" s="1">
        <v>45834</v>
      </c>
      <c r="C332" s="1" t="s">
        <v>19</v>
      </c>
      <c r="D332" t="str">
        <f>_xlfn.XLOOKUP(C332,Company_table[Company_Name],Company_table[Company_ID])</f>
        <v>C002</v>
      </c>
      <c r="E332" t="s">
        <v>35</v>
      </c>
      <c r="F332" t="str">
        <f>_xlfn.XLOOKUP(E332,Account_table[Account_Name],Account_table[Account_ID])</f>
        <v>A002</v>
      </c>
      <c r="G332" t="s">
        <v>57</v>
      </c>
      <c r="H332" t="str">
        <f>_xlfn.XLOOKUP(G332,Cust_Vend_table[Party_Name],Cust_Vend_table[Party_ID])</f>
        <v>P001</v>
      </c>
      <c r="I332" t="s">
        <v>81</v>
      </c>
      <c r="J332" t="str">
        <f>_xlfn.XLOOKUP(I332,Dept_table[Department_Name],Dept_table[Department_ID])</f>
        <v>D001</v>
      </c>
      <c r="K332" t="s">
        <v>100</v>
      </c>
      <c r="L332" t="str">
        <f>_xlfn.XLOOKUP(K332,Payment_table[Payment_Mode],Payment_table[Payment_Mode_ID])</f>
        <v>PM02</v>
      </c>
      <c r="M332" t="s">
        <v>1106</v>
      </c>
      <c r="N332" t="s">
        <v>1107</v>
      </c>
      <c r="O332" s="3">
        <v>36359</v>
      </c>
      <c r="P332" s="3">
        <v>6544.62</v>
      </c>
      <c r="Q332" s="3">
        <v>42903.62</v>
      </c>
      <c r="R332" t="s">
        <v>135</v>
      </c>
    </row>
    <row r="333" spans="1:18" x14ac:dyDescent="0.3">
      <c r="A333" t="s">
        <v>1108</v>
      </c>
      <c r="B333" s="1">
        <v>45873</v>
      </c>
      <c r="C333" s="1" t="s">
        <v>23</v>
      </c>
      <c r="D333" t="str">
        <f>_xlfn.XLOOKUP(C333,Company_table[Company_Name],Company_table[Company_ID])</f>
        <v>C003</v>
      </c>
      <c r="E333" t="s">
        <v>37</v>
      </c>
      <c r="F333" t="str">
        <f>_xlfn.XLOOKUP(E333,Account_table[Account_Name],Account_table[Account_ID])</f>
        <v>A003</v>
      </c>
      <c r="G333" t="s">
        <v>62</v>
      </c>
      <c r="H333" t="str">
        <f>_xlfn.XLOOKUP(G333,Cust_Vend_table[Party_Name],Cust_Vend_table[Party_ID])</f>
        <v>P003</v>
      </c>
      <c r="I333" t="s">
        <v>87</v>
      </c>
      <c r="J333" t="str">
        <f>_xlfn.XLOOKUP(I333,Dept_table[Department_Name],Dept_table[Department_ID])</f>
        <v>D003</v>
      </c>
      <c r="K333" t="s">
        <v>104</v>
      </c>
      <c r="L333" t="str">
        <f>_xlfn.XLOOKUP(K333,Payment_table[Payment_Mode],Payment_table[Payment_Mode_ID])</f>
        <v>PM04</v>
      </c>
      <c r="M333" t="s">
        <v>1109</v>
      </c>
      <c r="N333" t="s">
        <v>1110</v>
      </c>
      <c r="O333" s="3">
        <v>22747</v>
      </c>
      <c r="P333" s="3">
        <v>4094.46</v>
      </c>
      <c r="Q333" s="3">
        <v>26841.46</v>
      </c>
      <c r="R333" t="s">
        <v>135</v>
      </c>
    </row>
    <row r="334" spans="1:18" x14ac:dyDescent="0.3">
      <c r="A334" t="s">
        <v>1111</v>
      </c>
      <c r="B334" s="1">
        <v>45724</v>
      </c>
      <c r="C334" s="1" t="s">
        <v>14</v>
      </c>
      <c r="D334" t="str">
        <f>_xlfn.XLOOKUP(C334,Company_table[Company_Name],Company_table[Company_ID])</f>
        <v>C001</v>
      </c>
      <c r="E334" t="s">
        <v>47</v>
      </c>
      <c r="F334" t="str">
        <f>_xlfn.XLOOKUP(E334,Account_table[Account_Name],Account_table[Account_ID])</f>
        <v>A006</v>
      </c>
      <c r="G334" t="s">
        <v>69</v>
      </c>
      <c r="H334" t="str">
        <f>_xlfn.XLOOKUP(G334,Cust_Vend_table[Party_Name],Cust_Vend_table[Party_ID])</f>
        <v>P005</v>
      </c>
      <c r="I334" t="s">
        <v>84</v>
      </c>
      <c r="J334" t="str">
        <f>_xlfn.XLOOKUP(I334,Dept_table[Department_Name],Dept_table[Department_ID])</f>
        <v>D002</v>
      </c>
      <c r="K334" t="s">
        <v>98</v>
      </c>
      <c r="L334" t="str">
        <f>_xlfn.XLOOKUP(K334,Payment_table[Payment_Mode],Payment_table[Payment_Mode_ID])</f>
        <v>PM01</v>
      </c>
      <c r="M334" t="s">
        <v>1112</v>
      </c>
      <c r="N334" t="s">
        <v>1113</v>
      </c>
      <c r="O334" s="3">
        <v>27443</v>
      </c>
      <c r="P334" s="3">
        <v>4939.74</v>
      </c>
      <c r="Q334" s="3">
        <v>32382.74</v>
      </c>
      <c r="R334" t="s">
        <v>116</v>
      </c>
    </row>
    <row r="335" spans="1:18" x14ac:dyDescent="0.3">
      <c r="A335" t="s">
        <v>1114</v>
      </c>
      <c r="B335" s="1">
        <v>45846</v>
      </c>
      <c r="C335" s="1" t="s">
        <v>19</v>
      </c>
      <c r="D335" t="str">
        <f>_xlfn.XLOOKUP(C335,Company_table[Company_Name],Company_table[Company_ID])</f>
        <v>C002</v>
      </c>
      <c r="E335" t="s">
        <v>44</v>
      </c>
      <c r="F335" t="str">
        <f>_xlfn.XLOOKUP(E335,Account_table[Account_Name],Account_table[Account_ID])</f>
        <v>A005</v>
      </c>
      <c r="G335" t="s">
        <v>69</v>
      </c>
      <c r="H335" t="str">
        <f>_xlfn.XLOOKUP(G335,Cust_Vend_table[Party_Name],Cust_Vend_table[Party_ID])</f>
        <v>P005</v>
      </c>
      <c r="I335" t="s">
        <v>93</v>
      </c>
      <c r="J335" t="str">
        <f>_xlfn.XLOOKUP(I335,Dept_table[Department_Name],Dept_table[Department_ID])</f>
        <v>D005</v>
      </c>
      <c r="K335" t="s">
        <v>100</v>
      </c>
      <c r="L335" t="str">
        <f>_xlfn.XLOOKUP(K335,Payment_table[Payment_Mode],Payment_table[Payment_Mode_ID])</f>
        <v>PM02</v>
      </c>
      <c r="M335" t="s">
        <v>1115</v>
      </c>
      <c r="N335" t="s">
        <v>1116</v>
      </c>
      <c r="O335" s="3">
        <v>28825</v>
      </c>
      <c r="P335" s="3">
        <v>5188.5</v>
      </c>
      <c r="Q335" s="3">
        <v>34013.5</v>
      </c>
      <c r="R335" t="s">
        <v>116</v>
      </c>
    </row>
    <row r="336" spans="1:18" x14ac:dyDescent="0.3">
      <c r="A336" t="s">
        <v>1117</v>
      </c>
      <c r="B336" s="1">
        <v>46050</v>
      </c>
      <c r="C336" s="1" t="s">
        <v>23</v>
      </c>
      <c r="D336" t="str">
        <f>_xlfn.XLOOKUP(C336,Company_table[Company_Name],Company_table[Company_ID])</f>
        <v>C003</v>
      </c>
      <c r="E336" t="s">
        <v>37</v>
      </c>
      <c r="F336" t="str">
        <f>_xlfn.XLOOKUP(E336,Account_table[Account_Name],Account_table[Account_ID])</f>
        <v>A003</v>
      </c>
      <c r="G336" t="s">
        <v>57</v>
      </c>
      <c r="H336" t="str">
        <f>_xlfn.XLOOKUP(G336,Cust_Vend_table[Party_Name],Cust_Vend_table[Party_ID])</f>
        <v>P001</v>
      </c>
      <c r="I336" t="s">
        <v>87</v>
      </c>
      <c r="J336" t="str">
        <f>_xlfn.XLOOKUP(I336,Dept_table[Department_Name],Dept_table[Department_ID])</f>
        <v>D003</v>
      </c>
      <c r="K336" t="s">
        <v>98</v>
      </c>
      <c r="L336" t="str">
        <f>_xlfn.XLOOKUP(K336,Payment_table[Payment_Mode],Payment_table[Payment_Mode_ID])</f>
        <v>PM01</v>
      </c>
      <c r="M336" t="s">
        <v>1118</v>
      </c>
      <c r="N336" t="s">
        <v>1119</v>
      </c>
      <c r="O336" s="3">
        <v>43782</v>
      </c>
      <c r="P336" s="3">
        <v>7880.76</v>
      </c>
      <c r="Q336" s="3">
        <v>51662.76</v>
      </c>
      <c r="R336" t="s">
        <v>135</v>
      </c>
    </row>
    <row r="337" spans="1:18" x14ac:dyDescent="0.3">
      <c r="A337" t="s">
        <v>1120</v>
      </c>
      <c r="B337" s="1">
        <v>45829</v>
      </c>
      <c r="C337" s="1" t="s">
        <v>14</v>
      </c>
      <c r="D337" t="str">
        <f>_xlfn.XLOOKUP(C337,Company_table[Company_Name],Company_table[Company_ID])</f>
        <v>C001</v>
      </c>
      <c r="E337" t="s">
        <v>35</v>
      </c>
      <c r="F337" t="str">
        <f>_xlfn.XLOOKUP(E337,Account_table[Account_Name],Account_table[Account_ID])</f>
        <v>A002</v>
      </c>
      <c r="G337" t="s">
        <v>65</v>
      </c>
      <c r="H337" t="str">
        <f>_xlfn.XLOOKUP(G337,Cust_Vend_table[Party_Name],Cust_Vend_table[Party_ID])</f>
        <v>P004</v>
      </c>
      <c r="I337" t="s">
        <v>87</v>
      </c>
      <c r="J337" t="str">
        <f>_xlfn.XLOOKUP(I337,Dept_table[Department_Name],Dept_table[Department_ID])</f>
        <v>D003</v>
      </c>
      <c r="K337" t="s">
        <v>100</v>
      </c>
      <c r="L337" t="str">
        <f>_xlfn.XLOOKUP(K337,Payment_table[Payment_Mode],Payment_table[Payment_Mode_ID])</f>
        <v>PM02</v>
      </c>
      <c r="M337" t="s">
        <v>1121</v>
      </c>
      <c r="N337" t="s">
        <v>1122</v>
      </c>
      <c r="O337" s="3">
        <v>46316</v>
      </c>
      <c r="P337" s="3">
        <v>8336.8799999999992</v>
      </c>
      <c r="Q337" s="3">
        <v>54652.88</v>
      </c>
      <c r="R337" t="s">
        <v>135</v>
      </c>
    </row>
    <row r="338" spans="1:18" x14ac:dyDescent="0.3">
      <c r="A338" t="s">
        <v>1123</v>
      </c>
      <c r="B338" s="1">
        <v>46024</v>
      </c>
      <c r="C338" s="1" t="s">
        <v>14</v>
      </c>
      <c r="D338" t="str">
        <f>_xlfn.XLOOKUP(C338,Company_table[Company_Name],Company_table[Company_ID])</f>
        <v>C001</v>
      </c>
      <c r="E338" t="s">
        <v>44</v>
      </c>
      <c r="F338" t="str">
        <f>_xlfn.XLOOKUP(E338,Account_table[Account_Name],Account_table[Account_ID])</f>
        <v>A005</v>
      </c>
      <c r="G338" t="s">
        <v>74</v>
      </c>
      <c r="H338" t="str">
        <f>_xlfn.XLOOKUP(G338,Cust_Vend_table[Party_Name],Cust_Vend_table[Party_ID])</f>
        <v>P007</v>
      </c>
      <c r="I338" t="s">
        <v>90</v>
      </c>
      <c r="J338" t="str">
        <f>_xlfn.XLOOKUP(I338,Dept_table[Department_Name],Dept_table[Department_ID])</f>
        <v>D004</v>
      </c>
      <c r="K338" t="s">
        <v>104</v>
      </c>
      <c r="L338" t="str">
        <f>_xlfn.XLOOKUP(K338,Payment_table[Payment_Mode],Payment_table[Payment_Mode_ID])</f>
        <v>PM04</v>
      </c>
      <c r="M338" t="s">
        <v>1124</v>
      </c>
      <c r="N338" t="s">
        <v>1125</v>
      </c>
      <c r="O338" s="3">
        <v>22986</v>
      </c>
      <c r="P338" s="3">
        <v>4137.4799999999996</v>
      </c>
      <c r="Q338" s="3">
        <v>27123.48</v>
      </c>
      <c r="R338" t="s">
        <v>116</v>
      </c>
    </row>
    <row r="339" spans="1:18" x14ac:dyDescent="0.3">
      <c r="A339" t="s">
        <v>1126</v>
      </c>
      <c r="B339" s="1">
        <v>45811</v>
      </c>
      <c r="C339" s="1" t="s">
        <v>14</v>
      </c>
      <c r="D339" t="str">
        <f>_xlfn.XLOOKUP(C339,Company_table[Company_Name],Company_table[Company_ID])</f>
        <v>C001</v>
      </c>
      <c r="E339" t="s">
        <v>31</v>
      </c>
      <c r="F339" t="str">
        <f>_xlfn.XLOOKUP(E339,Account_table[Account_Name],Account_table[Account_ID])</f>
        <v>A001</v>
      </c>
      <c r="G339" t="s">
        <v>65</v>
      </c>
      <c r="H339" t="str">
        <f>_xlfn.XLOOKUP(G339,Cust_Vend_table[Party_Name],Cust_Vend_table[Party_ID])</f>
        <v>P004</v>
      </c>
      <c r="I339" t="s">
        <v>93</v>
      </c>
      <c r="J339" t="str">
        <f>_xlfn.XLOOKUP(I339,Dept_table[Department_Name],Dept_table[Department_ID])</f>
        <v>D005</v>
      </c>
      <c r="K339" t="s">
        <v>98</v>
      </c>
      <c r="L339" t="str">
        <f>_xlfn.XLOOKUP(K339,Payment_table[Payment_Mode],Payment_table[Payment_Mode_ID])</f>
        <v>PM01</v>
      </c>
      <c r="M339" t="s">
        <v>1127</v>
      </c>
      <c r="N339" t="s">
        <v>1128</v>
      </c>
      <c r="O339" s="3">
        <v>36211</v>
      </c>
      <c r="P339" s="3">
        <v>6517.98</v>
      </c>
      <c r="Q339" s="3">
        <v>42728.98</v>
      </c>
      <c r="R339" t="s">
        <v>135</v>
      </c>
    </row>
    <row r="340" spans="1:18" x14ac:dyDescent="0.3">
      <c r="A340" t="s">
        <v>1129</v>
      </c>
      <c r="B340" s="1">
        <v>45837</v>
      </c>
      <c r="C340" s="1" t="s">
        <v>14</v>
      </c>
      <c r="D340" t="str">
        <f>_xlfn.XLOOKUP(C340,Company_table[Company_Name],Company_table[Company_ID])</f>
        <v>C001</v>
      </c>
      <c r="E340" t="s">
        <v>31</v>
      </c>
      <c r="F340" t="str">
        <f>_xlfn.XLOOKUP(E340,Account_table[Account_Name],Account_table[Account_ID])</f>
        <v>A001</v>
      </c>
      <c r="G340" t="s">
        <v>65</v>
      </c>
      <c r="H340" t="str">
        <f>_xlfn.XLOOKUP(G340,Cust_Vend_table[Party_Name],Cust_Vend_table[Party_ID])</f>
        <v>P004</v>
      </c>
      <c r="I340" t="s">
        <v>90</v>
      </c>
      <c r="J340" t="str">
        <f>_xlfn.XLOOKUP(I340,Dept_table[Department_Name],Dept_table[Department_ID])</f>
        <v>D004</v>
      </c>
      <c r="K340" t="s">
        <v>104</v>
      </c>
      <c r="L340" t="str">
        <f>_xlfn.XLOOKUP(K340,Payment_table[Payment_Mode],Payment_table[Payment_Mode_ID])</f>
        <v>PM04</v>
      </c>
      <c r="M340" t="s">
        <v>1130</v>
      </c>
      <c r="N340" t="s">
        <v>1131</v>
      </c>
      <c r="O340" s="3">
        <v>39317</v>
      </c>
      <c r="P340" s="3">
        <v>7077.06</v>
      </c>
      <c r="Q340" s="3">
        <v>46394.06</v>
      </c>
      <c r="R340" t="s">
        <v>135</v>
      </c>
    </row>
    <row r="341" spans="1:18" x14ac:dyDescent="0.3">
      <c r="A341" t="s">
        <v>1132</v>
      </c>
      <c r="B341" s="1">
        <v>45733</v>
      </c>
      <c r="C341" s="1" t="s">
        <v>23</v>
      </c>
      <c r="D341" t="str">
        <f>_xlfn.XLOOKUP(C341,Company_table[Company_Name],Company_table[Company_ID])</f>
        <v>C003</v>
      </c>
      <c r="E341" t="s">
        <v>51</v>
      </c>
      <c r="F341" t="str">
        <f>_xlfn.XLOOKUP(E341,Account_table[Account_Name],Account_table[Account_ID])</f>
        <v>A008</v>
      </c>
      <c r="G341" t="s">
        <v>72</v>
      </c>
      <c r="H341" t="str">
        <f>_xlfn.XLOOKUP(G341,Cust_Vend_table[Party_Name],Cust_Vend_table[Party_ID])</f>
        <v>P006</v>
      </c>
      <c r="I341" t="s">
        <v>93</v>
      </c>
      <c r="J341" t="str">
        <f>_xlfn.XLOOKUP(I341,Dept_table[Department_Name],Dept_table[Department_ID])</f>
        <v>D005</v>
      </c>
      <c r="K341" t="s">
        <v>98</v>
      </c>
      <c r="L341" t="str">
        <f>_xlfn.XLOOKUP(K341,Payment_table[Payment_Mode],Payment_table[Payment_Mode_ID])</f>
        <v>PM01</v>
      </c>
      <c r="M341" t="s">
        <v>1133</v>
      </c>
      <c r="N341" t="s">
        <v>1134</v>
      </c>
      <c r="O341" s="3">
        <v>6381</v>
      </c>
      <c r="P341" s="3">
        <v>1148.58</v>
      </c>
      <c r="Q341" s="3">
        <v>7529.58</v>
      </c>
      <c r="R341" t="s">
        <v>116</v>
      </c>
    </row>
    <row r="342" spans="1:18" x14ac:dyDescent="0.3">
      <c r="A342" t="s">
        <v>1135</v>
      </c>
      <c r="B342" s="1">
        <v>46010</v>
      </c>
      <c r="C342" s="1" t="s">
        <v>19</v>
      </c>
      <c r="D342" t="str">
        <f>_xlfn.XLOOKUP(C342,Company_table[Company_Name],Company_table[Company_ID])</f>
        <v>C002</v>
      </c>
      <c r="E342" t="s">
        <v>37</v>
      </c>
      <c r="F342" t="str">
        <f>_xlfn.XLOOKUP(E342,Account_table[Account_Name],Account_table[Account_ID])</f>
        <v>A003</v>
      </c>
      <c r="G342" t="s">
        <v>62</v>
      </c>
      <c r="H342" t="str">
        <f>_xlfn.XLOOKUP(G342,Cust_Vend_table[Party_Name],Cust_Vend_table[Party_ID])</f>
        <v>P003</v>
      </c>
      <c r="I342" t="s">
        <v>93</v>
      </c>
      <c r="J342" t="str">
        <f>_xlfn.XLOOKUP(I342,Dept_table[Department_Name],Dept_table[Department_ID])</f>
        <v>D005</v>
      </c>
      <c r="K342" t="s">
        <v>104</v>
      </c>
      <c r="L342" t="str">
        <f>_xlfn.XLOOKUP(K342,Payment_table[Payment_Mode],Payment_table[Payment_Mode_ID])</f>
        <v>PM04</v>
      </c>
      <c r="M342" t="s">
        <v>1136</v>
      </c>
      <c r="N342" t="s">
        <v>1137</v>
      </c>
      <c r="O342" s="3">
        <v>9581</v>
      </c>
      <c r="P342" s="3">
        <v>1724.58</v>
      </c>
      <c r="Q342" s="3">
        <v>11305.58</v>
      </c>
      <c r="R342" t="s">
        <v>135</v>
      </c>
    </row>
    <row r="343" spans="1:18" x14ac:dyDescent="0.3">
      <c r="A343" t="s">
        <v>1138</v>
      </c>
      <c r="B343" s="1">
        <v>45934</v>
      </c>
      <c r="C343" s="1" t="s">
        <v>14</v>
      </c>
      <c r="D343" t="str">
        <f>_xlfn.XLOOKUP(C343,Company_table[Company_Name],Company_table[Company_ID])</f>
        <v>C001</v>
      </c>
      <c r="E343" t="s">
        <v>44</v>
      </c>
      <c r="F343" t="str">
        <f>_xlfn.XLOOKUP(E343,Account_table[Account_Name],Account_table[Account_ID])</f>
        <v>A005</v>
      </c>
      <c r="G343" t="s">
        <v>69</v>
      </c>
      <c r="H343" t="str">
        <f>_xlfn.XLOOKUP(G343,Cust_Vend_table[Party_Name],Cust_Vend_table[Party_ID])</f>
        <v>P005</v>
      </c>
      <c r="I343" t="s">
        <v>93</v>
      </c>
      <c r="J343" t="str">
        <f>_xlfn.XLOOKUP(I343,Dept_table[Department_Name],Dept_table[Department_ID])</f>
        <v>D005</v>
      </c>
      <c r="K343" t="s">
        <v>98</v>
      </c>
      <c r="L343" t="str">
        <f>_xlfn.XLOOKUP(K343,Payment_table[Payment_Mode],Payment_table[Payment_Mode_ID])</f>
        <v>PM01</v>
      </c>
      <c r="M343" t="s">
        <v>1139</v>
      </c>
      <c r="N343" t="s">
        <v>1140</v>
      </c>
      <c r="O343" s="3">
        <v>9820</v>
      </c>
      <c r="P343" s="3">
        <v>1767.6</v>
      </c>
      <c r="Q343" s="3">
        <v>11587.6</v>
      </c>
      <c r="R343" t="s">
        <v>116</v>
      </c>
    </row>
    <row r="344" spans="1:18" x14ac:dyDescent="0.3">
      <c r="A344" t="s">
        <v>1141</v>
      </c>
      <c r="B344" s="1">
        <v>46057</v>
      </c>
      <c r="C344" s="1" t="s">
        <v>14</v>
      </c>
      <c r="D344" t="str">
        <f>_xlfn.XLOOKUP(C344,Company_table[Company_Name],Company_table[Company_ID])</f>
        <v>C001</v>
      </c>
      <c r="E344" t="s">
        <v>44</v>
      </c>
      <c r="F344" t="str">
        <f>_xlfn.XLOOKUP(E344,Account_table[Account_Name],Account_table[Account_ID])</f>
        <v>A005</v>
      </c>
      <c r="G344" t="s">
        <v>74</v>
      </c>
      <c r="H344" t="str">
        <f>_xlfn.XLOOKUP(G344,Cust_Vend_table[Party_Name],Cust_Vend_table[Party_ID])</f>
        <v>P007</v>
      </c>
      <c r="I344" t="s">
        <v>90</v>
      </c>
      <c r="J344" t="str">
        <f>_xlfn.XLOOKUP(I344,Dept_table[Department_Name],Dept_table[Department_ID])</f>
        <v>D004</v>
      </c>
      <c r="K344" t="s">
        <v>104</v>
      </c>
      <c r="L344" t="str">
        <f>_xlfn.XLOOKUP(K344,Payment_table[Payment_Mode],Payment_table[Payment_Mode_ID])</f>
        <v>PM04</v>
      </c>
      <c r="M344" t="s">
        <v>1142</v>
      </c>
      <c r="N344" t="s">
        <v>1143</v>
      </c>
      <c r="O344" s="3">
        <v>25436</v>
      </c>
      <c r="P344" s="3">
        <v>4578.4799999999996</v>
      </c>
      <c r="Q344" s="3">
        <v>30014.48</v>
      </c>
      <c r="R344" t="s">
        <v>116</v>
      </c>
    </row>
    <row r="345" spans="1:18" x14ac:dyDescent="0.3">
      <c r="A345" t="s">
        <v>1144</v>
      </c>
      <c r="B345" s="1">
        <v>45764</v>
      </c>
      <c r="C345" s="1" t="s">
        <v>23</v>
      </c>
      <c r="D345" t="str">
        <f>_xlfn.XLOOKUP(C345,Company_table[Company_Name],Company_table[Company_ID])</f>
        <v>C003</v>
      </c>
      <c r="E345" t="s">
        <v>35</v>
      </c>
      <c r="F345" t="str">
        <f>_xlfn.XLOOKUP(E345,Account_table[Account_Name],Account_table[Account_ID])</f>
        <v>A002</v>
      </c>
      <c r="G345" t="s">
        <v>60</v>
      </c>
      <c r="H345" t="str">
        <f>_xlfn.XLOOKUP(G345,Cust_Vend_table[Party_Name],Cust_Vend_table[Party_ID])</f>
        <v>P002</v>
      </c>
      <c r="I345" t="s">
        <v>93</v>
      </c>
      <c r="J345" t="str">
        <f>_xlfn.XLOOKUP(I345,Dept_table[Department_Name],Dept_table[Department_ID])</f>
        <v>D005</v>
      </c>
      <c r="K345" t="s">
        <v>102</v>
      </c>
      <c r="L345" t="str">
        <f>_xlfn.XLOOKUP(K345,Payment_table[Payment_Mode],Payment_table[Payment_Mode_ID])</f>
        <v>PM03</v>
      </c>
      <c r="M345" t="s">
        <v>1145</v>
      </c>
      <c r="N345" t="s">
        <v>1146</v>
      </c>
      <c r="O345" s="3">
        <v>19501</v>
      </c>
      <c r="P345" s="3">
        <v>3510.18</v>
      </c>
      <c r="Q345" s="3">
        <v>23011.18</v>
      </c>
      <c r="R345" t="s">
        <v>135</v>
      </c>
    </row>
    <row r="346" spans="1:18" x14ac:dyDescent="0.3">
      <c r="A346" t="s">
        <v>1147</v>
      </c>
      <c r="B346" s="1">
        <v>46076</v>
      </c>
      <c r="C346" s="1" t="s">
        <v>14</v>
      </c>
      <c r="D346" t="str">
        <f>_xlfn.XLOOKUP(C346,Company_table[Company_Name],Company_table[Company_ID])</f>
        <v>C001</v>
      </c>
      <c r="E346" t="s">
        <v>44</v>
      </c>
      <c r="F346" t="str">
        <f>_xlfn.XLOOKUP(E346,Account_table[Account_Name],Account_table[Account_ID])</f>
        <v>A005</v>
      </c>
      <c r="G346" t="s">
        <v>69</v>
      </c>
      <c r="H346" t="str">
        <f>_xlfn.XLOOKUP(G346,Cust_Vend_table[Party_Name],Cust_Vend_table[Party_ID])</f>
        <v>P005</v>
      </c>
      <c r="I346" t="s">
        <v>84</v>
      </c>
      <c r="J346" t="str">
        <f>_xlfn.XLOOKUP(I346,Dept_table[Department_Name],Dept_table[Department_ID])</f>
        <v>D002</v>
      </c>
      <c r="K346" t="s">
        <v>104</v>
      </c>
      <c r="L346" t="str">
        <f>_xlfn.XLOOKUP(K346,Payment_table[Payment_Mode],Payment_table[Payment_Mode_ID])</f>
        <v>PM04</v>
      </c>
      <c r="M346" t="s">
        <v>1148</v>
      </c>
      <c r="N346" t="s">
        <v>1149</v>
      </c>
      <c r="O346" s="3">
        <v>30820</v>
      </c>
      <c r="P346" s="3">
        <v>5547.6</v>
      </c>
      <c r="Q346" s="3">
        <v>36367.599999999999</v>
      </c>
      <c r="R346" t="s">
        <v>116</v>
      </c>
    </row>
    <row r="347" spans="1:18" x14ac:dyDescent="0.3">
      <c r="A347" t="s">
        <v>1150</v>
      </c>
      <c r="B347" s="1">
        <v>46070</v>
      </c>
      <c r="C347" s="1" t="s">
        <v>23</v>
      </c>
      <c r="D347" t="str">
        <f>_xlfn.XLOOKUP(C347,Company_table[Company_Name],Company_table[Company_ID])</f>
        <v>C003</v>
      </c>
      <c r="E347" t="s">
        <v>44</v>
      </c>
      <c r="F347" t="str">
        <f>_xlfn.XLOOKUP(E347,Account_table[Account_Name],Account_table[Account_ID])</f>
        <v>A005</v>
      </c>
      <c r="G347" t="s">
        <v>74</v>
      </c>
      <c r="H347" t="str">
        <f>_xlfn.XLOOKUP(G347,Cust_Vend_table[Party_Name],Cust_Vend_table[Party_ID])</f>
        <v>P007</v>
      </c>
      <c r="I347" t="s">
        <v>93</v>
      </c>
      <c r="J347" t="str">
        <f>_xlfn.XLOOKUP(I347,Dept_table[Department_Name],Dept_table[Department_ID])</f>
        <v>D005</v>
      </c>
      <c r="K347" t="s">
        <v>102</v>
      </c>
      <c r="L347" t="str">
        <f>_xlfn.XLOOKUP(K347,Payment_table[Payment_Mode],Payment_table[Payment_Mode_ID])</f>
        <v>PM03</v>
      </c>
      <c r="M347" t="s">
        <v>1151</v>
      </c>
      <c r="N347" t="s">
        <v>1152</v>
      </c>
      <c r="O347" s="3">
        <v>49163</v>
      </c>
      <c r="P347" s="3">
        <v>8849.34</v>
      </c>
      <c r="Q347" s="3">
        <v>58012.34</v>
      </c>
      <c r="R347" t="s">
        <v>116</v>
      </c>
    </row>
    <row r="348" spans="1:18" x14ac:dyDescent="0.3">
      <c r="A348" t="s">
        <v>1153</v>
      </c>
      <c r="B348" s="1">
        <v>46031</v>
      </c>
      <c r="C348" s="1" t="s">
        <v>19</v>
      </c>
      <c r="D348" t="str">
        <f>_xlfn.XLOOKUP(C348,Company_table[Company_Name],Company_table[Company_ID])</f>
        <v>C002</v>
      </c>
      <c r="E348" t="s">
        <v>35</v>
      </c>
      <c r="F348" t="str">
        <f>_xlfn.XLOOKUP(E348,Account_table[Account_Name],Account_table[Account_ID])</f>
        <v>A002</v>
      </c>
      <c r="G348" t="s">
        <v>65</v>
      </c>
      <c r="H348" t="str">
        <f>_xlfn.XLOOKUP(G348,Cust_Vend_table[Party_Name],Cust_Vend_table[Party_ID])</f>
        <v>P004</v>
      </c>
      <c r="I348" t="s">
        <v>81</v>
      </c>
      <c r="J348" t="str">
        <f>_xlfn.XLOOKUP(I348,Dept_table[Department_Name],Dept_table[Department_ID])</f>
        <v>D001</v>
      </c>
      <c r="K348" t="s">
        <v>104</v>
      </c>
      <c r="L348" t="str">
        <f>_xlfn.XLOOKUP(K348,Payment_table[Payment_Mode],Payment_table[Payment_Mode_ID])</f>
        <v>PM04</v>
      </c>
      <c r="M348" t="s">
        <v>1154</v>
      </c>
      <c r="N348" t="s">
        <v>1155</v>
      </c>
      <c r="O348" s="3">
        <v>40419</v>
      </c>
      <c r="P348" s="3">
        <v>7275.42</v>
      </c>
      <c r="Q348" s="3">
        <v>47694.42</v>
      </c>
      <c r="R348" t="s">
        <v>135</v>
      </c>
    </row>
    <row r="349" spans="1:18" x14ac:dyDescent="0.3">
      <c r="A349" t="s">
        <v>1156</v>
      </c>
      <c r="B349" s="1">
        <v>45692</v>
      </c>
      <c r="C349" s="1" t="s">
        <v>19</v>
      </c>
      <c r="D349" t="str">
        <f>_xlfn.XLOOKUP(C349,Company_table[Company_Name],Company_table[Company_ID])</f>
        <v>C002</v>
      </c>
      <c r="E349" t="s">
        <v>35</v>
      </c>
      <c r="F349" t="str">
        <f>_xlfn.XLOOKUP(E349,Account_table[Account_Name],Account_table[Account_ID])</f>
        <v>A002</v>
      </c>
      <c r="G349" t="s">
        <v>57</v>
      </c>
      <c r="H349" t="str">
        <f>_xlfn.XLOOKUP(G349,Cust_Vend_table[Party_Name],Cust_Vend_table[Party_ID])</f>
        <v>P001</v>
      </c>
      <c r="I349" t="s">
        <v>90</v>
      </c>
      <c r="J349" t="str">
        <f>_xlfn.XLOOKUP(I349,Dept_table[Department_Name],Dept_table[Department_ID])</f>
        <v>D004</v>
      </c>
      <c r="K349" t="s">
        <v>102</v>
      </c>
      <c r="L349" t="str">
        <f>_xlfn.XLOOKUP(K349,Payment_table[Payment_Mode],Payment_table[Payment_Mode_ID])</f>
        <v>PM03</v>
      </c>
      <c r="M349" t="s">
        <v>1157</v>
      </c>
      <c r="N349" t="s">
        <v>1158</v>
      </c>
      <c r="O349" s="3">
        <v>42026</v>
      </c>
      <c r="P349" s="3">
        <v>7564.68</v>
      </c>
      <c r="Q349" s="3">
        <v>49590.68</v>
      </c>
      <c r="R349" t="s">
        <v>135</v>
      </c>
    </row>
    <row r="350" spans="1:18" x14ac:dyDescent="0.3">
      <c r="A350" t="s">
        <v>1159</v>
      </c>
      <c r="B350" s="1">
        <v>46050</v>
      </c>
      <c r="C350" s="1" t="s">
        <v>23</v>
      </c>
      <c r="D350" t="str">
        <f>_xlfn.XLOOKUP(C350,Company_table[Company_Name],Company_table[Company_ID])</f>
        <v>C003</v>
      </c>
      <c r="E350" t="s">
        <v>47</v>
      </c>
      <c r="F350" t="str">
        <f>_xlfn.XLOOKUP(E350,Account_table[Account_Name],Account_table[Account_ID])</f>
        <v>A006</v>
      </c>
      <c r="G350" t="s">
        <v>76</v>
      </c>
      <c r="H350" t="str">
        <f>_xlfn.XLOOKUP(G350,Cust_Vend_table[Party_Name],Cust_Vend_table[Party_ID])</f>
        <v>P008</v>
      </c>
      <c r="I350" t="s">
        <v>93</v>
      </c>
      <c r="J350" t="str">
        <f>_xlfn.XLOOKUP(I350,Dept_table[Department_Name],Dept_table[Department_ID])</f>
        <v>D005</v>
      </c>
      <c r="K350" t="s">
        <v>104</v>
      </c>
      <c r="L350" t="str">
        <f>_xlfn.XLOOKUP(K350,Payment_table[Payment_Mode],Payment_table[Payment_Mode_ID])</f>
        <v>PM04</v>
      </c>
      <c r="M350" t="s">
        <v>1160</v>
      </c>
      <c r="N350" t="s">
        <v>1161</v>
      </c>
      <c r="O350" s="3">
        <v>29624</v>
      </c>
      <c r="P350" s="3">
        <v>5332.32</v>
      </c>
      <c r="Q350" s="3">
        <v>34956.32</v>
      </c>
      <c r="R350" t="s">
        <v>116</v>
      </c>
    </row>
    <row r="351" spans="1:18" x14ac:dyDescent="0.3">
      <c r="A351" t="s">
        <v>1162</v>
      </c>
      <c r="B351" s="1">
        <v>45967</v>
      </c>
      <c r="C351" s="1" t="s">
        <v>14</v>
      </c>
      <c r="D351" t="str">
        <f>_xlfn.XLOOKUP(C351,Company_table[Company_Name],Company_table[Company_ID])</f>
        <v>C001</v>
      </c>
      <c r="E351" t="s">
        <v>35</v>
      </c>
      <c r="F351" t="str">
        <f>_xlfn.XLOOKUP(E351,Account_table[Account_Name],Account_table[Account_ID])</f>
        <v>A002</v>
      </c>
      <c r="G351" t="s">
        <v>62</v>
      </c>
      <c r="H351" t="str">
        <f>_xlfn.XLOOKUP(G351,Cust_Vend_table[Party_Name],Cust_Vend_table[Party_ID])</f>
        <v>P003</v>
      </c>
      <c r="I351" t="s">
        <v>90</v>
      </c>
      <c r="J351" t="str">
        <f>_xlfn.XLOOKUP(I351,Dept_table[Department_Name],Dept_table[Department_ID])</f>
        <v>D004</v>
      </c>
      <c r="K351" t="s">
        <v>102</v>
      </c>
      <c r="L351" t="str">
        <f>_xlfn.XLOOKUP(K351,Payment_table[Payment_Mode],Payment_table[Payment_Mode_ID])</f>
        <v>PM03</v>
      </c>
      <c r="M351" t="s">
        <v>1163</v>
      </c>
      <c r="N351" t="s">
        <v>1164</v>
      </c>
      <c r="O351" s="3">
        <v>6897</v>
      </c>
      <c r="P351" s="3">
        <v>1241.46</v>
      </c>
      <c r="Q351" s="3">
        <v>8138.46</v>
      </c>
      <c r="R351" t="s">
        <v>135</v>
      </c>
    </row>
    <row r="352" spans="1:18" x14ac:dyDescent="0.3">
      <c r="A352" t="s">
        <v>1165</v>
      </c>
      <c r="B352" s="1">
        <v>45780</v>
      </c>
      <c r="C352" s="1" t="s">
        <v>23</v>
      </c>
      <c r="D352" t="str">
        <f>_xlfn.XLOOKUP(C352,Company_table[Company_Name],Company_table[Company_ID])</f>
        <v>C003</v>
      </c>
      <c r="E352" t="s">
        <v>37</v>
      </c>
      <c r="F352" t="str">
        <f>_xlfn.XLOOKUP(E352,Account_table[Account_Name],Account_table[Account_ID])</f>
        <v>A003</v>
      </c>
      <c r="G352" t="s">
        <v>60</v>
      </c>
      <c r="H352" t="str">
        <f>_xlfn.XLOOKUP(G352,Cust_Vend_table[Party_Name],Cust_Vend_table[Party_ID])</f>
        <v>P002</v>
      </c>
      <c r="I352" t="s">
        <v>81</v>
      </c>
      <c r="J352" t="str">
        <f>_xlfn.XLOOKUP(I352,Dept_table[Department_Name],Dept_table[Department_ID])</f>
        <v>D001</v>
      </c>
      <c r="K352" t="s">
        <v>102</v>
      </c>
      <c r="L352" t="str">
        <f>_xlfn.XLOOKUP(K352,Payment_table[Payment_Mode],Payment_table[Payment_Mode_ID])</f>
        <v>PM03</v>
      </c>
      <c r="M352" t="s">
        <v>1166</v>
      </c>
      <c r="N352" t="s">
        <v>1167</v>
      </c>
      <c r="O352" s="3">
        <v>47530</v>
      </c>
      <c r="P352" s="3">
        <v>8555.4</v>
      </c>
      <c r="Q352" s="3">
        <v>56085.4</v>
      </c>
      <c r="R352" t="s">
        <v>135</v>
      </c>
    </row>
    <row r="353" spans="1:18" x14ac:dyDescent="0.3">
      <c r="A353" t="s">
        <v>1168</v>
      </c>
      <c r="B353" s="1">
        <v>45926</v>
      </c>
      <c r="C353" s="1" t="s">
        <v>14</v>
      </c>
      <c r="D353" t="str">
        <f>_xlfn.XLOOKUP(C353,Company_table[Company_Name],Company_table[Company_ID])</f>
        <v>C001</v>
      </c>
      <c r="E353" t="s">
        <v>44</v>
      </c>
      <c r="F353" t="str">
        <f>_xlfn.XLOOKUP(E353,Account_table[Account_Name],Account_table[Account_ID])</f>
        <v>A005</v>
      </c>
      <c r="G353" t="s">
        <v>69</v>
      </c>
      <c r="H353" t="str">
        <f>_xlfn.XLOOKUP(G353,Cust_Vend_table[Party_Name],Cust_Vend_table[Party_ID])</f>
        <v>P005</v>
      </c>
      <c r="I353" t="s">
        <v>93</v>
      </c>
      <c r="J353" t="str">
        <f>_xlfn.XLOOKUP(I353,Dept_table[Department_Name],Dept_table[Department_ID])</f>
        <v>D005</v>
      </c>
      <c r="K353" t="s">
        <v>104</v>
      </c>
      <c r="L353" t="str">
        <f>_xlfn.XLOOKUP(K353,Payment_table[Payment_Mode],Payment_table[Payment_Mode_ID])</f>
        <v>PM04</v>
      </c>
      <c r="M353" t="s">
        <v>1169</v>
      </c>
      <c r="N353" t="s">
        <v>1170</v>
      </c>
      <c r="O353" s="3">
        <v>8905</v>
      </c>
      <c r="P353" s="3">
        <v>1602.9</v>
      </c>
      <c r="Q353" s="3">
        <v>10507.9</v>
      </c>
      <c r="R353" t="s">
        <v>116</v>
      </c>
    </row>
    <row r="354" spans="1:18" x14ac:dyDescent="0.3">
      <c r="A354" t="s">
        <v>1171</v>
      </c>
      <c r="B354" s="1">
        <v>46042</v>
      </c>
      <c r="C354" s="1" t="s">
        <v>14</v>
      </c>
      <c r="D354" t="str">
        <f>_xlfn.XLOOKUP(C354,Company_table[Company_Name],Company_table[Company_ID])</f>
        <v>C001</v>
      </c>
      <c r="E354" t="s">
        <v>49</v>
      </c>
      <c r="F354" t="str">
        <f>_xlfn.XLOOKUP(E354,Account_table[Account_Name],Account_table[Account_ID])</f>
        <v>A007</v>
      </c>
      <c r="G354" t="s">
        <v>69</v>
      </c>
      <c r="H354" t="str">
        <f>_xlfn.XLOOKUP(G354,Cust_Vend_table[Party_Name],Cust_Vend_table[Party_ID])</f>
        <v>P005</v>
      </c>
      <c r="I354" t="s">
        <v>84</v>
      </c>
      <c r="J354" t="str">
        <f>_xlfn.XLOOKUP(I354,Dept_table[Department_Name],Dept_table[Department_ID])</f>
        <v>D002</v>
      </c>
      <c r="K354" t="s">
        <v>104</v>
      </c>
      <c r="L354" t="str">
        <f>_xlfn.XLOOKUP(K354,Payment_table[Payment_Mode],Payment_table[Payment_Mode_ID])</f>
        <v>PM04</v>
      </c>
      <c r="M354" t="s">
        <v>1172</v>
      </c>
      <c r="N354" t="s">
        <v>1173</v>
      </c>
      <c r="O354" s="3">
        <v>3719</v>
      </c>
      <c r="P354" s="3">
        <v>669.42</v>
      </c>
      <c r="Q354" s="3">
        <v>4388.42</v>
      </c>
      <c r="R354" t="s">
        <v>116</v>
      </c>
    </row>
    <row r="355" spans="1:18" x14ac:dyDescent="0.3">
      <c r="A355" t="s">
        <v>1174</v>
      </c>
      <c r="B355" s="1">
        <v>45692</v>
      </c>
      <c r="C355" s="1" t="s">
        <v>19</v>
      </c>
      <c r="D355" t="str">
        <f>_xlfn.XLOOKUP(C355,Company_table[Company_Name],Company_table[Company_ID])</f>
        <v>C002</v>
      </c>
      <c r="E355" t="s">
        <v>47</v>
      </c>
      <c r="F355" t="str">
        <f>_xlfn.XLOOKUP(E355,Account_table[Account_Name],Account_table[Account_ID])</f>
        <v>A006</v>
      </c>
      <c r="G355" t="s">
        <v>76</v>
      </c>
      <c r="H355" t="str">
        <f>_xlfn.XLOOKUP(G355,Cust_Vend_table[Party_Name],Cust_Vend_table[Party_ID])</f>
        <v>P008</v>
      </c>
      <c r="I355" t="s">
        <v>81</v>
      </c>
      <c r="J355" t="str">
        <f>_xlfn.XLOOKUP(I355,Dept_table[Department_Name],Dept_table[Department_ID])</f>
        <v>D001</v>
      </c>
      <c r="K355" t="s">
        <v>98</v>
      </c>
      <c r="L355" t="str">
        <f>_xlfn.XLOOKUP(K355,Payment_table[Payment_Mode],Payment_table[Payment_Mode_ID])</f>
        <v>PM01</v>
      </c>
      <c r="M355" t="s">
        <v>1175</v>
      </c>
      <c r="N355" t="s">
        <v>1176</v>
      </c>
      <c r="O355" s="3">
        <v>17359</v>
      </c>
      <c r="P355" s="3">
        <v>3124.62</v>
      </c>
      <c r="Q355" s="3">
        <v>20483.62</v>
      </c>
      <c r="R355" t="s">
        <v>116</v>
      </c>
    </row>
    <row r="356" spans="1:18" x14ac:dyDescent="0.3">
      <c r="A356" t="s">
        <v>1177</v>
      </c>
      <c r="B356" s="1">
        <v>45851</v>
      </c>
      <c r="C356" s="1" t="s">
        <v>19</v>
      </c>
      <c r="D356" t="str">
        <f>_xlfn.XLOOKUP(C356,Company_table[Company_Name],Company_table[Company_ID])</f>
        <v>C002</v>
      </c>
      <c r="E356" t="s">
        <v>40</v>
      </c>
      <c r="F356" t="str">
        <f>_xlfn.XLOOKUP(E356,Account_table[Account_Name],Account_table[Account_ID])</f>
        <v>A004</v>
      </c>
      <c r="G356" t="s">
        <v>72</v>
      </c>
      <c r="H356" t="str">
        <f>_xlfn.XLOOKUP(G356,Cust_Vend_table[Party_Name],Cust_Vend_table[Party_ID])</f>
        <v>P006</v>
      </c>
      <c r="I356" t="s">
        <v>93</v>
      </c>
      <c r="J356" t="str">
        <f>_xlfn.XLOOKUP(I356,Dept_table[Department_Name],Dept_table[Department_ID])</f>
        <v>D005</v>
      </c>
      <c r="K356" t="s">
        <v>104</v>
      </c>
      <c r="L356" t="str">
        <f>_xlfn.XLOOKUP(K356,Payment_table[Payment_Mode],Payment_table[Payment_Mode_ID])</f>
        <v>PM04</v>
      </c>
      <c r="M356" t="s">
        <v>1178</v>
      </c>
      <c r="N356" t="s">
        <v>1179</v>
      </c>
      <c r="O356" s="3">
        <v>7483</v>
      </c>
      <c r="P356" s="3">
        <v>1346.94</v>
      </c>
      <c r="Q356" s="3">
        <v>8829.94</v>
      </c>
      <c r="R356" t="s">
        <v>116</v>
      </c>
    </row>
    <row r="357" spans="1:18" x14ac:dyDescent="0.3">
      <c r="A357" t="s">
        <v>1180</v>
      </c>
      <c r="B357" s="1">
        <v>45945</v>
      </c>
      <c r="C357" s="1" t="s">
        <v>19</v>
      </c>
      <c r="D357" t="str">
        <f>_xlfn.XLOOKUP(C357,Company_table[Company_Name],Company_table[Company_ID])</f>
        <v>C002</v>
      </c>
      <c r="E357" t="s">
        <v>40</v>
      </c>
      <c r="F357" t="str">
        <f>_xlfn.XLOOKUP(E357,Account_table[Account_Name],Account_table[Account_ID])</f>
        <v>A004</v>
      </c>
      <c r="G357" t="s">
        <v>74</v>
      </c>
      <c r="H357" t="str">
        <f>_xlfn.XLOOKUP(G357,Cust_Vend_table[Party_Name],Cust_Vend_table[Party_ID])</f>
        <v>P007</v>
      </c>
      <c r="I357" t="s">
        <v>81</v>
      </c>
      <c r="J357" t="str">
        <f>_xlfn.XLOOKUP(I357,Dept_table[Department_Name],Dept_table[Department_ID])</f>
        <v>D001</v>
      </c>
      <c r="K357" t="s">
        <v>104</v>
      </c>
      <c r="L357" t="str">
        <f>_xlfn.XLOOKUP(K357,Payment_table[Payment_Mode],Payment_table[Payment_Mode_ID])</f>
        <v>PM04</v>
      </c>
      <c r="M357" t="s">
        <v>1181</v>
      </c>
      <c r="N357" t="s">
        <v>1182</v>
      </c>
      <c r="O357" s="3">
        <v>21978</v>
      </c>
      <c r="P357" s="3">
        <v>3956.04</v>
      </c>
      <c r="Q357" s="3">
        <v>25934.04</v>
      </c>
      <c r="R357" t="s">
        <v>116</v>
      </c>
    </row>
    <row r="358" spans="1:18" x14ac:dyDescent="0.3">
      <c r="A358" t="s">
        <v>1183</v>
      </c>
      <c r="B358" s="1">
        <v>45759</v>
      </c>
      <c r="C358" s="1" t="s">
        <v>14</v>
      </c>
      <c r="D358" t="str">
        <f>_xlfn.XLOOKUP(C358,Company_table[Company_Name],Company_table[Company_ID])</f>
        <v>C001</v>
      </c>
      <c r="E358" t="s">
        <v>31</v>
      </c>
      <c r="F358" t="str">
        <f>_xlfn.XLOOKUP(E358,Account_table[Account_Name],Account_table[Account_ID])</f>
        <v>A001</v>
      </c>
      <c r="G358" t="s">
        <v>65</v>
      </c>
      <c r="H358" t="str">
        <f>_xlfn.XLOOKUP(G358,Cust_Vend_table[Party_Name],Cust_Vend_table[Party_ID])</f>
        <v>P004</v>
      </c>
      <c r="I358" t="s">
        <v>81</v>
      </c>
      <c r="J358" t="str">
        <f>_xlfn.XLOOKUP(I358,Dept_table[Department_Name],Dept_table[Department_ID])</f>
        <v>D001</v>
      </c>
      <c r="K358" t="s">
        <v>100</v>
      </c>
      <c r="L358" t="str">
        <f>_xlfn.XLOOKUP(K358,Payment_table[Payment_Mode],Payment_table[Payment_Mode_ID])</f>
        <v>PM02</v>
      </c>
      <c r="M358" t="s">
        <v>1184</v>
      </c>
      <c r="N358" t="s">
        <v>1185</v>
      </c>
      <c r="O358" s="3">
        <v>22637</v>
      </c>
      <c r="P358" s="3">
        <v>4074.66</v>
      </c>
      <c r="Q358" s="3">
        <v>26711.66</v>
      </c>
      <c r="R358" t="s">
        <v>135</v>
      </c>
    </row>
    <row r="359" spans="1:18" x14ac:dyDescent="0.3">
      <c r="A359" t="s">
        <v>1186</v>
      </c>
      <c r="B359" s="1">
        <v>46019</v>
      </c>
      <c r="C359" s="1" t="s">
        <v>19</v>
      </c>
      <c r="D359" t="str">
        <f>_xlfn.XLOOKUP(C359,Company_table[Company_Name],Company_table[Company_ID])</f>
        <v>C002</v>
      </c>
      <c r="E359" t="s">
        <v>35</v>
      </c>
      <c r="F359" t="str">
        <f>_xlfn.XLOOKUP(E359,Account_table[Account_Name],Account_table[Account_ID])</f>
        <v>A002</v>
      </c>
      <c r="G359" t="s">
        <v>62</v>
      </c>
      <c r="H359" t="str">
        <f>_xlfn.XLOOKUP(G359,Cust_Vend_table[Party_Name],Cust_Vend_table[Party_ID])</f>
        <v>P003</v>
      </c>
      <c r="I359" t="s">
        <v>84</v>
      </c>
      <c r="J359" t="str">
        <f>_xlfn.XLOOKUP(I359,Dept_table[Department_Name],Dept_table[Department_ID])</f>
        <v>D002</v>
      </c>
      <c r="K359" t="s">
        <v>100</v>
      </c>
      <c r="L359" t="str">
        <f>_xlfn.XLOOKUP(K359,Payment_table[Payment_Mode],Payment_table[Payment_Mode_ID])</f>
        <v>PM02</v>
      </c>
      <c r="M359" t="s">
        <v>1187</v>
      </c>
      <c r="N359" t="s">
        <v>1188</v>
      </c>
      <c r="O359" s="3">
        <v>40767</v>
      </c>
      <c r="P359" s="3">
        <v>7338.06</v>
      </c>
      <c r="Q359" s="3">
        <v>48105.06</v>
      </c>
      <c r="R359" t="s">
        <v>135</v>
      </c>
    </row>
    <row r="360" spans="1:18" x14ac:dyDescent="0.3">
      <c r="A360" t="s">
        <v>1189</v>
      </c>
      <c r="B360" s="1">
        <v>45740</v>
      </c>
      <c r="C360" s="1" t="s">
        <v>14</v>
      </c>
      <c r="D360" t="str">
        <f>_xlfn.XLOOKUP(C360,Company_table[Company_Name],Company_table[Company_ID])</f>
        <v>C001</v>
      </c>
      <c r="E360" t="s">
        <v>44</v>
      </c>
      <c r="F360" t="str">
        <f>_xlfn.XLOOKUP(E360,Account_table[Account_Name],Account_table[Account_ID])</f>
        <v>A005</v>
      </c>
      <c r="G360" t="s">
        <v>72</v>
      </c>
      <c r="H360" t="str">
        <f>_xlfn.XLOOKUP(G360,Cust_Vend_table[Party_Name],Cust_Vend_table[Party_ID])</f>
        <v>P006</v>
      </c>
      <c r="I360" t="s">
        <v>87</v>
      </c>
      <c r="J360" t="str">
        <f>_xlfn.XLOOKUP(I360,Dept_table[Department_Name],Dept_table[Department_ID])</f>
        <v>D003</v>
      </c>
      <c r="K360" t="s">
        <v>104</v>
      </c>
      <c r="L360" t="str">
        <f>_xlfn.XLOOKUP(K360,Payment_table[Payment_Mode],Payment_table[Payment_Mode_ID])</f>
        <v>PM04</v>
      </c>
      <c r="M360" t="s">
        <v>1190</v>
      </c>
      <c r="N360" t="s">
        <v>1191</v>
      </c>
      <c r="O360" s="3">
        <v>21981</v>
      </c>
      <c r="P360" s="3">
        <v>3956.58</v>
      </c>
      <c r="Q360" s="3">
        <v>25937.58</v>
      </c>
      <c r="R360" t="s">
        <v>116</v>
      </c>
    </row>
    <row r="361" spans="1:18" x14ac:dyDescent="0.3">
      <c r="A361" t="s">
        <v>1192</v>
      </c>
      <c r="B361" s="1">
        <v>45817</v>
      </c>
      <c r="C361" s="1" t="s">
        <v>19</v>
      </c>
      <c r="D361" t="str">
        <f>_xlfn.XLOOKUP(C361,Company_table[Company_Name],Company_table[Company_ID])</f>
        <v>C002</v>
      </c>
      <c r="E361" t="s">
        <v>49</v>
      </c>
      <c r="F361" t="str">
        <f>_xlfn.XLOOKUP(E361,Account_table[Account_Name],Account_table[Account_ID])</f>
        <v>A007</v>
      </c>
      <c r="G361" t="s">
        <v>76</v>
      </c>
      <c r="H361" t="str">
        <f>_xlfn.XLOOKUP(G361,Cust_Vend_table[Party_Name],Cust_Vend_table[Party_ID])</f>
        <v>P008</v>
      </c>
      <c r="I361" t="s">
        <v>84</v>
      </c>
      <c r="J361" t="str">
        <f>_xlfn.XLOOKUP(I361,Dept_table[Department_Name],Dept_table[Department_ID])</f>
        <v>D002</v>
      </c>
      <c r="K361" t="s">
        <v>104</v>
      </c>
      <c r="L361" t="str">
        <f>_xlfn.XLOOKUP(K361,Payment_table[Payment_Mode],Payment_table[Payment_Mode_ID])</f>
        <v>PM04</v>
      </c>
      <c r="M361" t="s">
        <v>1193</v>
      </c>
      <c r="N361" t="s">
        <v>1194</v>
      </c>
      <c r="O361" s="3">
        <v>16724</v>
      </c>
      <c r="P361" s="3">
        <v>3010.32</v>
      </c>
      <c r="Q361" s="3">
        <v>19734.32</v>
      </c>
      <c r="R361" t="s">
        <v>116</v>
      </c>
    </row>
    <row r="362" spans="1:18" x14ac:dyDescent="0.3">
      <c r="A362" t="s">
        <v>1195</v>
      </c>
      <c r="B362" s="1">
        <v>45998</v>
      </c>
      <c r="C362" s="1" t="s">
        <v>19</v>
      </c>
      <c r="D362" t="str">
        <f>_xlfn.XLOOKUP(C362,Company_table[Company_Name],Company_table[Company_ID])</f>
        <v>C002</v>
      </c>
      <c r="E362" t="s">
        <v>49</v>
      </c>
      <c r="F362" t="str">
        <f>_xlfn.XLOOKUP(E362,Account_table[Account_Name],Account_table[Account_ID])</f>
        <v>A007</v>
      </c>
      <c r="G362" t="s">
        <v>74</v>
      </c>
      <c r="H362" t="str">
        <f>_xlfn.XLOOKUP(G362,Cust_Vend_table[Party_Name],Cust_Vend_table[Party_ID])</f>
        <v>P007</v>
      </c>
      <c r="I362" t="s">
        <v>81</v>
      </c>
      <c r="J362" t="str">
        <f>_xlfn.XLOOKUP(I362,Dept_table[Department_Name],Dept_table[Department_ID])</f>
        <v>D001</v>
      </c>
      <c r="K362" t="s">
        <v>100</v>
      </c>
      <c r="L362" t="str">
        <f>_xlfn.XLOOKUP(K362,Payment_table[Payment_Mode],Payment_table[Payment_Mode_ID])</f>
        <v>PM02</v>
      </c>
      <c r="M362" t="s">
        <v>1196</v>
      </c>
      <c r="N362" t="s">
        <v>1197</v>
      </c>
      <c r="O362" s="3">
        <v>21766</v>
      </c>
      <c r="P362" s="3">
        <v>3917.88</v>
      </c>
      <c r="Q362" s="3">
        <v>25683.88</v>
      </c>
      <c r="R362" t="s">
        <v>116</v>
      </c>
    </row>
    <row r="363" spans="1:18" x14ac:dyDescent="0.3">
      <c r="A363" t="s">
        <v>1198</v>
      </c>
      <c r="B363" s="1">
        <v>45770</v>
      </c>
      <c r="C363" s="1" t="s">
        <v>14</v>
      </c>
      <c r="D363" t="str">
        <f>_xlfn.XLOOKUP(C363,Company_table[Company_Name],Company_table[Company_ID])</f>
        <v>C001</v>
      </c>
      <c r="E363" t="s">
        <v>31</v>
      </c>
      <c r="F363" t="str">
        <f>_xlfn.XLOOKUP(E363,Account_table[Account_Name],Account_table[Account_ID])</f>
        <v>A001</v>
      </c>
      <c r="G363" t="s">
        <v>65</v>
      </c>
      <c r="H363" t="str">
        <f>_xlfn.XLOOKUP(G363,Cust_Vend_table[Party_Name],Cust_Vend_table[Party_ID])</f>
        <v>P004</v>
      </c>
      <c r="I363" t="s">
        <v>90</v>
      </c>
      <c r="J363" t="str">
        <f>_xlfn.XLOOKUP(I363,Dept_table[Department_Name],Dept_table[Department_ID])</f>
        <v>D004</v>
      </c>
      <c r="K363" t="s">
        <v>98</v>
      </c>
      <c r="L363" t="str">
        <f>_xlfn.XLOOKUP(K363,Payment_table[Payment_Mode],Payment_table[Payment_Mode_ID])</f>
        <v>PM01</v>
      </c>
      <c r="M363" t="s">
        <v>1199</v>
      </c>
      <c r="N363" t="s">
        <v>1200</v>
      </c>
      <c r="O363" s="3">
        <v>27806</v>
      </c>
      <c r="P363" s="3">
        <v>5005.08</v>
      </c>
      <c r="Q363" s="3">
        <v>32811.08</v>
      </c>
      <c r="R363" t="s">
        <v>135</v>
      </c>
    </row>
    <row r="364" spans="1:18" x14ac:dyDescent="0.3">
      <c r="A364" t="s">
        <v>1201</v>
      </c>
      <c r="B364" s="1">
        <v>45722</v>
      </c>
      <c r="C364" s="1" t="s">
        <v>23</v>
      </c>
      <c r="D364" t="str">
        <f>_xlfn.XLOOKUP(C364,Company_table[Company_Name],Company_table[Company_ID])</f>
        <v>C003</v>
      </c>
      <c r="E364" t="s">
        <v>44</v>
      </c>
      <c r="F364" t="str">
        <f>_xlfn.XLOOKUP(E364,Account_table[Account_Name],Account_table[Account_ID])</f>
        <v>A005</v>
      </c>
      <c r="G364" t="s">
        <v>69</v>
      </c>
      <c r="H364" t="str">
        <f>_xlfn.XLOOKUP(G364,Cust_Vend_table[Party_Name],Cust_Vend_table[Party_ID])</f>
        <v>P005</v>
      </c>
      <c r="I364" t="s">
        <v>84</v>
      </c>
      <c r="J364" t="str">
        <f>_xlfn.XLOOKUP(I364,Dept_table[Department_Name],Dept_table[Department_ID])</f>
        <v>D002</v>
      </c>
      <c r="K364" t="s">
        <v>100</v>
      </c>
      <c r="L364" t="str">
        <f>_xlfn.XLOOKUP(K364,Payment_table[Payment_Mode],Payment_table[Payment_Mode_ID])</f>
        <v>PM02</v>
      </c>
      <c r="M364" t="s">
        <v>1202</v>
      </c>
      <c r="N364" t="s">
        <v>1203</v>
      </c>
      <c r="O364" s="3">
        <v>39798</v>
      </c>
      <c r="P364" s="3">
        <v>7163.64</v>
      </c>
      <c r="Q364" s="3">
        <v>46961.64</v>
      </c>
      <c r="R364" t="s">
        <v>116</v>
      </c>
    </row>
    <row r="365" spans="1:18" x14ac:dyDescent="0.3">
      <c r="A365" t="s">
        <v>1204</v>
      </c>
      <c r="B365" s="1">
        <v>45886</v>
      </c>
      <c r="C365" s="1" t="s">
        <v>23</v>
      </c>
      <c r="D365" t="str">
        <f>_xlfn.XLOOKUP(C365,Company_table[Company_Name],Company_table[Company_ID])</f>
        <v>C003</v>
      </c>
      <c r="E365" t="s">
        <v>44</v>
      </c>
      <c r="F365" t="str">
        <f>_xlfn.XLOOKUP(E365,Account_table[Account_Name],Account_table[Account_ID])</f>
        <v>A005</v>
      </c>
      <c r="G365" t="s">
        <v>74</v>
      </c>
      <c r="H365" t="str">
        <f>_xlfn.XLOOKUP(G365,Cust_Vend_table[Party_Name],Cust_Vend_table[Party_ID])</f>
        <v>P007</v>
      </c>
      <c r="I365" t="s">
        <v>93</v>
      </c>
      <c r="J365" t="str">
        <f>_xlfn.XLOOKUP(I365,Dept_table[Department_Name],Dept_table[Department_ID])</f>
        <v>D005</v>
      </c>
      <c r="K365" t="s">
        <v>104</v>
      </c>
      <c r="L365" t="str">
        <f>_xlfn.XLOOKUP(K365,Payment_table[Payment_Mode],Payment_table[Payment_Mode_ID])</f>
        <v>PM04</v>
      </c>
      <c r="M365" t="s">
        <v>1205</v>
      </c>
      <c r="N365" t="s">
        <v>1206</v>
      </c>
      <c r="O365" s="3">
        <v>16322</v>
      </c>
      <c r="P365" s="3">
        <v>2937.96</v>
      </c>
      <c r="Q365" s="3">
        <v>19259.96</v>
      </c>
      <c r="R365" t="s">
        <v>116</v>
      </c>
    </row>
    <row r="366" spans="1:18" x14ac:dyDescent="0.3">
      <c r="A366" t="s">
        <v>1207</v>
      </c>
      <c r="B366" s="1">
        <v>46012</v>
      </c>
      <c r="C366" s="1" t="s">
        <v>23</v>
      </c>
      <c r="D366" t="str">
        <f>_xlfn.XLOOKUP(C366,Company_table[Company_Name],Company_table[Company_ID])</f>
        <v>C003</v>
      </c>
      <c r="E366" t="s">
        <v>31</v>
      </c>
      <c r="F366" t="str">
        <f>_xlfn.XLOOKUP(E366,Account_table[Account_Name],Account_table[Account_ID])</f>
        <v>A001</v>
      </c>
      <c r="G366" t="s">
        <v>57</v>
      </c>
      <c r="H366" t="str">
        <f>_xlfn.XLOOKUP(G366,Cust_Vend_table[Party_Name],Cust_Vend_table[Party_ID])</f>
        <v>P001</v>
      </c>
      <c r="I366" t="s">
        <v>87</v>
      </c>
      <c r="J366" t="str">
        <f>_xlfn.XLOOKUP(I366,Dept_table[Department_Name],Dept_table[Department_ID])</f>
        <v>D003</v>
      </c>
      <c r="K366" t="s">
        <v>104</v>
      </c>
      <c r="L366" t="str">
        <f>_xlfn.XLOOKUP(K366,Payment_table[Payment_Mode],Payment_table[Payment_Mode_ID])</f>
        <v>PM04</v>
      </c>
      <c r="M366" t="s">
        <v>1208</v>
      </c>
      <c r="N366" t="s">
        <v>1209</v>
      </c>
      <c r="O366" s="3">
        <v>48439</v>
      </c>
      <c r="P366" s="3">
        <v>8719.02</v>
      </c>
      <c r="Q366" s="3">
        <v>57158.02</v>
      </c>
      <c r="R366" t="s">
        <v>135</v>
      </c>
    </row>
    <row r="367" spans="1:18" x14ac:dyDescent="0.3">
      <c r="A367" t="s">
        <v>1210</v>
      </c>
      <c r="B367" s="1">
        <v>45821</v>
      </c>
      <c r="C367" s="1" t="s">
        <v>23</v>
      </c>
      <c r="D367" t="str">
        <f>_xlfn.XLOOKUP(C367,Company_table[Company_Name],Company_table[Company_ID])</f>
        <v>C003</v>
      </c>
      <c r="E367" t="s">
        <v>51</v>
      </c>
      <c r="F367" t="str">
        <f>_xlfn.XLOOKUP(E367,Account_table[Account_Name],Account_table[Account_ID])</f>
        <v>A008</v>
      </c>
      <c r="G367" t="s">
        <v>76</v>
      </c>
      <c r="H367" t="str">
        <f>_xlfn.XLOOKUP(G367,Cust_Vend_table[Party_Name],Cust_Vend_table[Party_ID])</f>
        <v>P008</v>
      </c>
      <c r="I367" t="s">
        <v>84</v>
      </c>
      <c r="J367" t="str">
        <f>_xlfn.XLOOKUP(I367,Dept_table[Department_Name],Dept_table[Department_ID])</f>
        <v>D002</v>
      </c>
      <c r="K367" t="s">
        <v>104</v>
      </c>
      <c r="L367" t="str">
        <f>_xlfn.XLOOKUP(K367,Payment_table[Payment_Mode],Payment_table[Payment_Mode_ID])</f>
        <v>PM04</v>
      </c>
      <c r="M367" t="s">
        <v>1211</v>
      </c>
      <c r="N367" t="s">
        <v>1212</v>
      </c>
      <c r="O367" s="3">
        <v>43957</v>
      </c>
      <c r="P367" s="3">
        <v>7912.26</v>
      </c>
      <c r="Q367" s="3">
        <v>51869.26</v>
      </c>
      <c r="R367" t="s">
        <v>116</v>
      </c>
    </row>
    <row r="368" spans="1:18" x14ac:dyDescent="0.3">
      <c r="A368" t="s">
        <v>1213</v>
      </c>
      <c r="B368" s="1">
        <v>45783</v>
      </c>
      <c r="C368" s="1" t="s">
        <v>14</v>
      </c>
      <c r="D368" t="str">
        <f>_xlfn.XLOOKUP(C368,Company_table[Company_Name],Company_table[Company_ID])</f>
        <v>C001</v>
      </c>
      <c r="E368" t="s">
        <v>37</v>
      </c>
      <c r="F368" t="str">
        <f>_xlfn.XLOOKUP(E368,Account_table[Account_Name],Account_table[Account_ID])</f>
        <v>A003</v>
      </c>
      <c r="G368" t="s">
        <v>57</v>
      </c>
      <c r="H368" t="str">
        <f>_xlfn.XLOOKUP(G368,Cust_Vend_table[Party_Name],Cust_Vend_table[Party_ID])</f>
        <v>P001</v>
      </c>
      <c r="I368" t="s">
        <v>93</v>
      </c>
      <c r="J368" t="str">
        <f>_xlfn.XLOOKUP(I368,Dept_table[Department_Name],Dept_table[Department_ID])</f>
        <v>D005</v>
      </c>
      <c r="K368" t="s">
        <v>102</v>
      </c>
      <c r="L368" t="str">
        <f>_xlfn.XLOOKUP(K368,Payment_table[Payment_Mode],Payment_table[Payment_Mode_ID])</f>
        <v>PM03</v>
      </c>
      <c r="M368" t="s">
        <v>1214</v>
      </c>
      <c r="N368" t="s">
        <v>1215</v>
      </c>
      <c r="O368" s="3">
        <v>25212</v>
      </c>
      <c r="P368" s="3">
        <v>4538.16</v>
      </c>
      <c r="Q368" s="3">
        <v>29750.16</v>
      </c>
      <c r="R368" t="s">
        <v>135</v>
      </c>
    </row>
    <row r="369" spans="1:18" x14ac:dyDescent="0.3">
      <c r="A369" t="s">
        <v>1216</v>
      </c>
      <c r="B369" s="1">
        <v>45979</v>
      </c>
      <c r="C369" s="1" t="s">
        <v>23</v>
      </c>
      <c r="D369" t="str">
        <f>_xlfn.XLOOKUP(C369,Company_table[Company_Name],Company_table[Company_ID])</f>
        <v>C003</v>
      </c>
      <c r="E369" t="s">
        <v>31</v>
      </c>
      <c r="F369" t="str">
        <f>_xlfn.XLOOKUP(E369,Account_table[Account_Name],Account_table[Account_ID])</f>
        <v>A001</v>
      </c>
      <c r="G369" t="s">
        <v>60</v>
      </c>
      <c r="H369" t="str">
        <f>_xlfn.XLOOKUP(G369,Cust_Vend_table[Party_Name],Cust_Vend_table[Party_ID])</f>
        <v>P002</v>
      </c>
      <c r="I369" t="s">
        <v>84</v>
      </c>
      <c r="J369" t="str">
        <f>_xlfn.XLOOKUP(I369,Dept_table[Department_Name],Dept_table[Department_ID])</f>
        <v>D002</v>
      </c>
      <c r="K369" t="s">
        <v>100</v>
      </c>
      <c r="L369" t="str">
        <f>_xlfn.XLOOKUP(K369,Payment_table[Payment_Mode],Payment_table[Payment_Mode_ID])</f>
        <v>PM02</v>
      </c>
      <c r="M369" t="s">
        <v>1217</v>
      </c>
      <c r="N369" t="s">
        <v>1218</v>
      </c>
      <c r="O369" s="3">
        <v>31161</v>
      </c>
      <c r="P369" s="3">
        <v>5608.98</v>
      </c>
      <c r="Q369" s="3">
        <v>36769.980000000003</v>
      </c>
      <c r="R369" t="s">
        <v>135</v>
      </c>
    </row>
    <row r="370" spans="1:18" x14ac:dyDescent="0.3">
      <c r="A370" t="s">
        <v>1219</v>
      </c>
      <c r="B370" s="1">
        <v>45767</v>
      </c>
      <c r="C370" s="1" t="s">
        <v>23</v>
      </c>
      <c r="D370" t="str">
        <f>_xlfn.XLOOKUP(C370,Company_table[Company_Name],Company_table[Company_ID])</f>
        <v>C003</v>
      </c>
      <c r="E370" t="s">
        <v>31</v>
      </c>
      <c r="F370" t="str">
        <f>_xlfn.XLOOKUP(E370,Account_table[Account_Name],Account_table[Account_ID])</f>
        <v>A001</v>
      </c>
      <c r="G370" t="s">
        <v>57</v>
      </c>
      <c r="H370" t="str">
        <f>_xlfn.XLOOKUP(G370,Cust_Vend_table[Party_Name],Cust_Vend_table[Party_ID])</f>
        <v>P001</v>
      </c>
      <c r="I370" t="s">
        <v>81</v>
      </c>
      <c r="J370" t="str">
        <f>_xlfn.XLOOKUP(I370,Dept_table[Department_Name],Dept_table[Department_ID])</f>
        <v>D001</v>
      </c>
      <c r="K370" t="s">
        <v>98</v>
      </c>
      <c r="L370" t="str">
        <f>_xlfn.XLOOKUP(K370,Payment_table[Payment_Mode],Payment_table[Payment_Mode_ID])</f>
        <v>PM01</v>
      </c>
      <c r="M370" t="s">
        <v>1220</v>
      </c>
      <c r="N370" t="s">
        <v>1221</v>
      </c>
      <c r="O370" s="3">
        <v>35857</v>
      </c>
      <c r="P370" s="3">
        <v>6454.26</v>
      </c>
      <c r="Q370" s="3">
        <v>42311.26</v>
      </c>
      <c r="R370" t="s">
        <v>135</v>
      </c>
    </row>
    <row r="371" spans="1:18" x14ac:dyDescent="0.3">
      <c r="A371" t="s">
        <v>1222</v>
      </c>
      <c r="B371" s="1">
        <v>45680</v>
      </c>
      <c r="C371" s="1" t="s">
        <v>19</v>
      </c>
      <c r="D371" t="str">
        <f>_xlfn.XLOOKUP(C371,Company_table[Company_Name],Company_table[Company_ID])</f>
        <v>C002</v>
      </c>
      <c r="E371" t="s">
        <v>49</v>
      </c>
      <c r="F371" t="str">
        <f>_xlfn.XLOOKUP(E371,Account_table[Account_Name],Account_table[Account_ID])</f>
        <v>A007</v>
      </c>
      <c r="G371" t="s">
        <v>69</v>
      </c>
      <c r="H371" t="str">
        <f>_xlfn.XLOOKUP(G371,Cust_Vend_table[Party_Name],Cust_Vend_table[Party_ID])</f>
        <v>P005</v>
      </c>
      <c r="I371" t="s">
        <v>93</v>
      </c>
      <c r="J371" t="str">
        <f>_xlfn.XLOOKUP(I371,Dept_table[Department_Name],Dept_table[Department_ID])</f>
        <v>D005</v>
      </c>
      <c r="K371" t="s">
        <v>102</v>
      </c>
      <c r="L371" t="str">
        <f>_xlfn.XLOOKUP(K371,Payment_table[Payment_Mode],Payment_table[Payment_Mode_ID])</f>
        <v>PM03</v>
      </c>
      <c r="M371" t="s">
        <v>1223</v>
      </c>
      <c r="N371" t="s">
        <v>1224</v>
      </c>
      <c r="O371" s="3">
        <v>15938</v>
      </c>
      <c r="P371" s="3">
        <v>2868.84</v>
      </c>
      <c r="Q371" s="3">
        <v>18806.84</v>
      </c>
      <c r="R371" t="s">
        <v>116</v>
      </c>
    </row>
    <row r="372" spans="1:18" x14ac:dyDescent="0.3">
      <c r="A372" t="s">
        <v>1225</v>
      </c>
      <c r="B372" s="1">
        <v>45846</v>
      </c>
      <c r="C372" s="1" t="s">
        <v>19</v>
      </c>
      <c r="D372" t="str">
        <f>_xlfn.XLOOKUP(C372,Company_table[Company_Name],Company_table[Company_ID])</f>
        <v>C002</v>
      </c>
      <c r="E372" t="s">
        <v>37</v>
      </c>
      <c r="F372" t="str">
        <f>_xlfn.XLOOKUP(E372,Account_table[Account_Name],Account_table[Account_ID])</f>
        <v>A003</v>
      </c>
      <c r="G372" t="s">
        <v>57</v>
      </c>
      <c r="H372" t="str">
        <f>_xlfn.XLOOKUP(G372,Cust_Vend_table[Party_Name],Cust_Vend_table[Party_ID])</f>
        <v>P001</v>
      </c>
      <c r="I372" t="s">
        <v>81</v>
      </c>
      <c r="J372" t="str">
        <f>_xlfn.XLOOKUP(I372,Dept_table[Department_Name],Dept_table[Department_ID])</f>
        <v>D001</v>
      </c>
      <c r="K372" t="s">
        <v>98</v>
      </c>
      <c r="L372" t="str">
        <f>_xlfn.XLOOKUP(K372,Payment_table[Payment_Mode],Payment_table[Payment_Mode_ID])</f>
        <v>PM01</v>
      </c>
      <c r="M372" t="s">
        <v>1226</v>
      </c>
      <c r="N372" t="s">
        <v>1227</v>
      </c>
      <c r="O372" s="3">
        <v>41849</v>
      </c>
      <c r="P372" s="3">
        <v>7532.82</v>
      </c>
      <c r="Q372" s="3">
        <v>49381.82</v>
      </c>
      <c r="R372" t="s">
        <v>135</v>
      </c>
    </row>
    <row r="373" spans="1:18" x14ac:dyDescent="0.3">
      <c r="A373" t="s">
        <v>1228</v>
      </c>
      <c r="B373" s="1">
        <v>45662</v>
      </c>
      <c r="C373" s="1" t="s">
        <v>14</v>
      </c>
      <c r="D373" t="str">
        <f>_xlfn.XLOOKUP(C373,Company_table[Company_Name],Company_table[Company_ID])</f>
        <v>C001</v>
      </c>
      <c r="E373" t="s">
        <v>40</v>
      </c>
      <c r="F373" t="str">
        <f>_xlfn.XLOOKUP(E373,Account_table[Account_Name],Account_table[Account_ID])</f>
        <v>A004</v>
      </c>
      <c r="G373" t="s">
        <v>76</v>
      </c>
      <c r="H373" t="str">
        <f>_xlfn.XLOOKUP(G373,Cust_Vend_table[Party_Name],Cust_Vend_table[Party_ID])</f>
        <v>P008</v>
      </c>
      <c r="I373" t="s">
        <v>93</v>
      </c>
      <c r="J373" t="str">
        <f>_xlfn.XLOOKUP(I373,Dept_table[Department_Name],Dept_table[Department_ID])</f>
        <v>D005</v>
      </c>
      <c r="K373" t="s">
        <v>100</v>
      </c>
      <c r="L373" t="str">
        <f>_xlfn.XLOOKUP(K373,Payment_table[Payment_Mode],Payment_table[Payment_Mode_ID])</f>
        <v>PM02</v>
      </c>
      <c r="M373" t="s">
        <v>1229</v>
      </c>
      <c r="N373" t="s">
        <v>1230</v>
      </c>
      <c r="O373" s="3">
        <v>35071</v>
      </c>
      <c r="P373" s="3">
        <v>6312.78</v>
      </c>
      <c r="Q373" s="3">
        <v>41383.78</v>
      </c>
      <c r="R373" t="s">
        <v>116</v>
      </c>
    </row>
    <row r="374" spans="1:18" x14ac:dyDescent="0.3">
      <c r="A374" t="s">
        <v>1231</v>
      </c>
      <c r="B374" s="1">
        <v>45969</v>
      </c>
      <c r="C374" s="1" t="s">
        <v>23</v>
      </c>
      <c r="D374" t="str">
        <f>_xlfn.XLOOKUP(C374,Company_table[Company_Name],Company_table[Company_ID])</f>
        <v>C003</v>
      </c>
      <c r="E374" t="s">
        <v>51</v>
      </c>
      <c r="F374" t="str">
        <f>_xlfn.XLOOKUP(E374,Account_table[Account_Name],Account_table[Account_ID])</f>
        <v>A008</v>
      </c>
      <c r="G374" t="s">
        <v>76</v>
      </c>
      <c r="H374" t="str">
        <f>_xlfn.XLOOKUP(G374,Cust_Vend_table[Party_Name],Cust_Vend_table[Party_ID])</f>
        <v>P008</v>
      </c>
      <c r="I374" t="s">
        <v>93</v>
      </c>
      <c r="J374" t="str">
        <f>_xlfn.XLOOKUP(I374,Dept_table[Department_Name],Dept_table[Department_ID])</f>
        <v>D005</v>
      </c>
      <c r="K374" t="s">
        <v>100</v>
      </c>
      <c r="L374" t="str">
        <f>_xlfn.XLOOKUP(K374,Payment_table[Payment_Mode],Payment_table[Payment_Mode_ID])</f>
        <v>PM02</v>
      </c>
      <c r="M374" t="s">
        <v>1232</v>
      </c>
      <c r="N374" t="s">
        <v>1233</v>
      </c>
      <c r="O374" s="3">
        <v>37277</v>
      </c>
      <c r="P374" s="3">
        <v>6709.86</v>
      </c>
      <c r="Q374" s="3">
        <v>43986.86</v>
      </c>
      <c r="R374" t="s">
        <v>116</v>
      </c>
    </row>
    <row r="375" spans="1:18" x14ac:dyDescent="0.3">
      <c r="A375" t="s">
        <v>1234</v>
      </c>
      <c r="B375" s="1">
        <v>45993</v>
      </c>
      <c r="C375" s="1" t="s">
        <v>23</v>
      </c>
      <c r="D375" t="str">
        <f>_xlfn.XLOOKUP(C375,Company_table[Company_Name],Company_table[Company_ID])</f>
        <v>C003</v>
      </c>
      <c r="E375" t="s">
        <v>31</v>
      </c>
      <c r="F375" t="str">
        <f>_xlfn.XLOOKUP(E375,Account_table[Account_Name],Account_table[Account_ID])</f>
        <v>A001</v>
      </c>
      <c r="G375" t="s">
        <v>65</v>
      </c>
      <c r="H375" t="str">
        <f>_xlfn.XLOOKUP(G375,Cust_Vend_table[Party_Name],Cust_Vend_table[Party_ID])</f>
        <v>P004</v>
      </c>
      <c r="I375" t="s">
        <v>87</v>
      </c>
      <c r="J375" t="str">
        <f>_xlfn.XLOOKUP(I375,Dept_table[Department_Name],Dept_table[Department_ID])</f>
        <v>D003</v>
      </c>
      <c r="K375" t="s">
        <v>102</v>
      </c>
      <c r="L375" t="str">
        <f>_xlfn.XLOOKUP(K375,Payment_table[Payment_Mode],Payment_table[Payment_Mode_ID])</f>
        <v>PM03</v>
      </c>
      <c r="M375" t="s">
        <v>1235</v>
      </c>
      <c r="N375" t="s">
        <v>1236</v>
      </c>
      <c r="O375" s="3">
        <v>29900</v>
      </c>
      <c r="P375" s="3">
        <v>5382</v>
      </c>
      <c r="Q375" s="3">
        <v>35282</v>
      </c>
      <c r="R375" t="s">
        <v>135</v>
      </c>
    </row>
    <row r="376" spans="1:18" x14ac:dyDescent="0.3">
      <c r="A376" t="s">
        <v>1237</v>
      </c>
      <c r="B376" s="1">
        <v>45888</v>
      </c>
      <c r="C376" s="1" t="s">
        <v>14</v>
      </c>
      <c r="D376" t="str">
        <f>_xlfn.XLOOKUP(C376,Company_table[Company_Name],Company_table[Company_ID])</f>
        <v>C001</v>
      </c>
      <c r="E376" t="s">
        <v>51</v>
      </c>
      <c r="F376" t="str">
        <f>_xlfn.XLOOKUP(E376,Account_table[Account_Name],Account_table[Account_ID])</f>
        <v>A008</v>
      </c>
      <c r="G376" t="s">
        <v>69</v>
      </c>
      <c r="H376" t="str">
        <f>_xlfn.XLOOKUP(G376,Cust_Vend_table[Party_Name],Cust_Vend_table[Party_ID])</f>
        <v>P005</v>
      </c>
      <c r="I376" t="s">
        <v>87</v>
      </c>
      <c r="J376" t="str">
        <f>_xlfn.XLOOKUP(I376,Dept_table[Department_Name],Dept_table[Department_ID])</f>
        <v>D003</v>
      </c>
      <c r="K376" t="s">
        <v>104</v>
      </c>
      <c r="L376" t="str">
        <f>_xlfn.XLOOKUP(K376,Payment_table[Payment_Mode],Payment_table[Payment_Mode_ID])</f>
        <v>PM04</v>
      </c>
      <c r="M376" t="s">
        <v>1238</v>
      </c>
      <c r="N376" t="s">
        <v>1239</v>
      </c>
      <c r="O376" s="3">
        <v>8880</v>
      </c>
      <c r="P376" s="3">
        <v>1598.4</v>
      </c>
      <c r="Q376" s="3">
        <v>10478.4</v>
      </c>
      <c r="R376" t="s">
        <v>116</v>
      </c>
    </row>
    <row r="377" spans="1:18" x14ac:dyDescent="0.3">
      <c r="A377" t="s">
        <v>1240</v>
      </c>
      <c r="B377" s="1">
        <v>45865</v>
      </c>
      <c r="C377" s="1" t="s">
        <v>19</v>
      </c>
      <c r="D377" t="str">
        <f>_xlfn.XLOOKUP(C377,Company_table[Company_Name],Company_table[Company_ID])</f>
        <v>C002</v>
      </c>
      <c r="E377" t="s">
        <v>37</v>
      </c>
      <c r="F377" t="str">
        <f>_xlfn.XLOOKUP(E377,Account_table[Account_Name],Account_table[Account_ID])</f>
        <v>A003</v>
      </c>
      <c r="G377" t="s">
        <v>62</v>
      </c>
      <c r="H377" t="str">
        <f>_xlfn.XLOOKUP(G377,Cust_Vend_table[Party_Name],Cust_Vend_table[Party_ID])</f>
        <v>P003</v>
      </c>
      <c r="I377" t="s">
        <v>87</v>
      </c>
      <c r="J377" t="str">
        <f>_xlfn.XLOOKUP(I377,Dept_table[Department_Name],Dept_table[Department_ID])</f>
        <v>D003</v>
      </c>
      <c r="K377" t="s">
        <v>98</v>
      </c>
      <c r="L377" t="str">
        <f>_xlfn.XLOOKUP(K377,Payment_table[Payment_Mode],Payment_table[Payment_Mode_ID])</f>
        <v>PM01</v>
      </c>
      <c r="M377" t="s">
        <v>1241</v>
      </c>
      <c r="N377" t="s">
        <v>1242</v>
      </c>
      <c r="O377" s="3">
        <v>38731</v>
      </c>
      <c r="P377" s="3">
        <v>6971.58</v>
      </c>
      <c r="Q377" s="3">
        <v>45702.58</v>
      </c>
      <c r="R377" t="s">
        <v>135</v>
      </c>
    </row>
    <row r="378" spans="1:18" x14ac:dyDescent="0.3">
      <c r="A378" t="s">
        <v>1243</v>
      </c>
      <c r="B378" s="1">
        <v>45900</v>
      </c>
      <c r="C378" s="1" t="s">
        <v>19</v>
      </c>
      <c r="D378" t="str">
        <f>_xlfn.XLOOKUP(C378,Company_table[Company_Name],Company_table[Company_ID])</f>
        <v>C002</v>
      </c>
      <c r="E378" t="s">
        <v>37</v>
      </c>
      <c r="F378" t="str">
        <f>_xlfn.XLOOKUP(E378,Account_table[Account_Name],Account_table[Account_ID])</f>
        <v>A003</v>
      </c>
      <c r="G378" t="s">
        <v>65</v>
      </c>
      <c r="H378" t="str">
        <f>_xlfn.XLOOKUP(G378,Cust_Vend_table[Party_Name],Cust_Vend_table[Party_ID])</f>
        <v>P004</v>
      </c>
      <c r="I378" t="s">
        <v>90</v>
      </c>
      <c r="J378" t="str">
        <f>_xlfn.XLOOKUP(I378,Dept_table[Department_Name],Dept_table[Department_ID])</f>
        <v>D004</v>
      </c>
      <c r="K378" t="s">
        <v>104</v>
      </c>
      <c r="L378" t="str">
        <f>_xlfn.XLOOKUP(K378,Payment_table[Payment_Mode],Payment_table[Payment_Mode_ID])</f>
        <v>PM04</v>
      </c>
      <c r="M378" t="s">
        <v>1244</v>
      </c>
      <c r="N378" t="s">
        <v>1245</v>
      </c>
      <c r="O378" s="3">
        <v>19642</v>
      </c>
      <c r="P378" s="3">
        <v>3535.56</v>
      </c>
      <c r="Q378" s="3">
        <v>23177.56</v>
      </c>
      <c r="R378" t="s">
        <v>135</v>
      </c>
    </row>
    <row r="379" spans="1:18" x14ac:dyDescent="0.3">
      <c r="A379" t="s">
        <v>1246</v>
      </c>
      <c r="B379" s="1">
        <v>45903</v>
      </c>
      <c r="C379" s="1" t="s">
        <v>19</v>
      </c>
      <c r="D379" t="str">
        <f>_xlfn.XLOOKUP(C379,Company_table[Company_Name],Company_table[Company_ID])</f>
        <v>C002</v>
      </c>
      <c r="E379" t="s">
        <v>40</v>
      </c>
      <c r="F379" t="str">
        <f>_xlfn.XLOOKUP(E379,Account_table[Account_Name],Account_table[Account_ID])</f>
        <v>A004</v>
      </c>
      <c r="G379" t="s">
        <v>76</v>
      </c>
      <c r="H379" t="str">
        <f>_xlfn.XLOOKUP(G379,Cust_Vend_table[Party_Name],Cust_Vend_table[Party_ID])</f>
        <v>P008</v>
      </c>
      <c r="I379" t="s">
        <v>90</v>
      </c>
      <c r="J379" t="str">
        <f>_xlfn.XLOOKUP(I379,Dept_table[Department_Name],Dept_table[Department_ID])</f>
        <v>D004</v>
      </c>
      <c r="K379" t="s">
        <v>102</v>
      </c>
      <c r="L379" t="str">
        <f>_xlfn.XLOOKUP(K379,Payment_table[Payment_Mode],Payment_table[Payment_Mode_ID])</f>
        <v>PM03</v>
      </c>
      <c r="M379" t="s">
        <v>1247</v>
      </c>
      <c r="N379" t="s">
        <v>1248</v>
      </c>
      <c r="O379" s="3">
        <v>39166</v>
      </c>
      <c r="P379" s="3">
        <v>7049.88</v>
      </c>
      <c r="Q379" s="3">
        <v>46215.88</v>
      </c>
      <c r="R379" t="s">
        <v>116</v>
      </c>
    </row>
    <row r="380" spans="1:18" x14ac:dyDescent="0.3">
      <c r="A380" t="s">
        <v>1249</v>
      </c>
      <c r="B380" s="1">
        <v>45815</v>
      </c>
      <c r="C380" s="1" t="s">
        <v>14</v>
      </c>
      <c r="D380" t="str">
        <f>_xlfn.XLOOKUP(C380,Company_table[Company_Name],Company_table[Company_ID])</f>
        <v>C001</v>
      </c>
      <c r="E380" t="s">
        <v>37</v>
      </c>
      <c r="F380" t="str">
        <f>_xlfn.XLOOKUP(E380,Account_table[Account_Name],Account_table[Account_ID])</f>
        <v>A003</v>
      </c>
      <c r="G380" t="s">
        <v>60</v>
      </c>
      <c r="H380" t="str">
        <f>_xlfn.XLOOKUP(G380,Cust_Vend_table[Party_Name],Cust_Vend_table[Party_ID])</f>
        <v>P002</v>
      </c>
      <c r="I380" t="s">
        <v>87</v>
      </c>
      <c r="J380" t="str">
        <f>_xlfn.XLOOKUP(I380,Dept_table[Department_Name],Dept_table[Department_ID])</f>
        <v>D003</v>
      </c>
      <c r="K380" t="s">
        <v>100</v>
      </c>
      <c r="L380" t="str">
        <f>_xlfn.XLOOKUP(K380,Payment_table[Payment_Mode],Payment_table[Payment_Mode_ID])</f>
        <v>PM02</v>
      </c>
      <c r="M380" t="s">
        <v>1250</v>
      </c>
      <c r="N380" t="s">
        <v>1251</v>
      </c>
      <c r="O380" s="3">
        <v>37452</v>
      </c>
      <c r="P380" s="3">
        <v>6741.36</v>
      </c>
      <c r="Q380" s="3">
        <v>44193.36</v>
      </c>
      <c r="R380" t="s">
        <v>135</v>
      </c>
    </row>
    <row r="381" spans="1:18" x14ac:dyDescent="0.3">
      <c r="A381" t="s">
        <v>1252</v>
      </c>
      <c r="B381" s="1">
        <v>45787</v>
      </c>
      <c r="C381" s="1" t="s">
        <v>19</v>
      </c>
      <c r="D381" t="str">
        <f>_xlfn.XLOOKUP(C381,Company_table[Company_Name],Company_table[Company_ID])</f>
        <v>C002</v>
      </c>
      <c r="E381" t="s">
        <v>31</v>
      </c>
      <c r="F381" t="str">
        <f>_xlfn.XLOOKUP(E381,Account_table[Account_Name],Account_table[Account_ID])</f>
        <v>A001</v>
      </c>
      <c r="G381" t="s">
        <v>60</v>
      </c>
      <c r="H381" t="str">
        <f>_xlfn.XLOOKUP(G381,Cust_Vend_table[Party_Name],Cust_Vend_table[Party_ID])</f>
        <v>P002</v>
      </c>
      <c r="I381" t="s">
        <v>81</v>
      </c>
      <c r="J381" t="str">
        <f>_xlfn.XLOOKUP(I381,Dept_table[Department_Name],Dept_table[Department_ID])</f>
        <v>D001</v>
      </c>
      <c r="K381" t="s">
        <v>102</v>
      </c>
      <c r="L381" t="str">
        <f>_xlfn.XLOOKUP(K381,Payment_table[Payment_Mode],Payment_table[Payment_Mode_ID])</f>
        <v>PM03</v>
      </c>
      <c r="M381" t="s">
        <v>1253</v>
      </c>
      <c r="N381" t="s">
        <v>1254</v>
      </c>
      <c r="O381" s="3">
        <v>11913</v>
      </c>
      <c r="P381" s="3">
        <v>2144.34</v>
      </c>
      <c r="Q381" s="3">
        <v>14057.34</v>
      </c>
      <c r="R381" t="s">
        <v>135</v>
      </c>
    </row>
    <row r="382" spans="1:18" x14ac:dyDescent="0.3">
      <c r="A382" t="s">
        <v>1255</v>
      </c>
      <c r="B382" s="1">
        <v>45984</v>
      </c>
      <c r="C382" s="1" t="s">
        <v>23</v>
      </c>
      <c r="D382" t="str">
        <f>_xlfn.XLOOKUP(C382,Company_table[Company_Name],Company_table[Company_ID])</f>
        <v>C003</v>
      </c>
      <c r="E382" t="s">
        <v>40</v>
      </c>
      <c r="F382" t="str">
        <f>_xlfn.XLOOKUP(E382,Account_table[Account_Name],Account_table[Account_ID])</f>
        <v>A004</v>
      </c>
      <c r="G382" t="s">
        <v>69</v>
      </c>
      <c r="H382" t="str">
        <f>_xlfn.XLOOKUP(G382,Cust_Vend_table[Party_Name],Cust_Vend_table[Party_ID])</f>
        <v>P005</v>
      </c>
      <c r="I382" t="s">
        <v>81</v>
      </c>
      <c r="J382" t="str">
        <f>_xlfn.XLOOKUP(I382,Dept_table[Department_Name],Dept_table[Department_ID])</f>
        <v>D001</v>
      </c>
      <c r="K382" t="s">
        <v>102</v>
      </c>
      <c r="L382" t="str">
        <f>_xlfn.XLOOKUP(K382,Payment_table[Payment_Mode],Payment_table[Payment_Mode_ID])</f>
        <v>PM03</v>
      </c>
      <c r="M382" t="s">
        <v>1256</v>
      </c>
      <c r="N382" t="s">
        <v>1257</v>
      </c>
      <c r="O382" s="3">
        <v>24787</v>
      </c>
      <c r="P382" s="3">
        <v>4461.66</v>
      </c>
      <c r="Q382" s="3">
        <v>29248.66</v>
      </c>
      <c r="R382" t="s">
        <v>116</v>
      </c>
    </row>
    <row r="383" spans="1:18" x14ac:dyDescent="0.3">
      <c r="A383" t="s">
        <v>1258</v>
      </c>
      <c r="B383" s="1">
        <v>46059</v>
      </c>
      <c r="C383" s="1" t="s">
        <v>23</v>
      </c>
      <c r="D383" t="str">
        <f>_xlfn.XLOOKUP(C383,Company_table[Company_Name],Company_table[Company_ID])</f>
        <v>C003</v>
      </c>
      <c r="E383" t="s">
        <v>47</v>
      </c>
      <c r="F383" t="str">
        <f>_xlfn.XLOOKUP(E383,Account_table[Account_Name],Account_table[Account_ID])</f>
        <v>A006</v>
      </c>
      <c r="G383" t="s">
        <v>74</v>
      </c>
      <c r="H383" t="str">
        <f>_xlfn.XLOOKUP(G383,Cust_Vend_table[Party_Name],Cust_Vend_table[Party_ID])</f>
        <v>P007</v>
      </c>
      <c r="I383" t="s">
        <v>87</v>
      </c>
      <c r="J383" t="str">
        <f>_xlfn.XLOOKUP(I383,Dept_table[Department_Name],Dept_table[Department_ID])</f>
        <v>D003</v>
      </c>
      <c r="K383" t="s">
        <v>100</v>
      </c>
      <c r="L383" t="str">
        <f>_xlfn.XLOOKUP(K383,Payment_table[Payment_Mode],Payment_table[Payment_Mode_ID])</f>
        <v>PM02</v>
      </c>
      <c r="M383" t="s">
        <v>1259</v>
      </c>
      <c r="N383" t="s">
        <v>1260</v>
      </c>
      <c r="O383" s="3">
        <v>2546</v>
      </c>
      <c r="P383" s="3">
        <v>458.28</v>
      </c>
      <c r="Q383" s="3">
        <v>3004.28</v>
      </c>
      <c r="R383" t="s">
        <v>116</v>
      </c>
    </row>
    <row r="384" spans="1:18" x14ac:dyDescent="0.3">
      <c r="A384" t="s">
        <v>1261</v>
      </c>
      <c r="B384" s="1">
        <v>45671</v>
      </c>
      <c r="C384" s="1" t="s">
        <v>19</v>
      </c>
      <c r="D384" t="str">
        <f>_xlfn.XLOOKUP(C384,Company_table[Company_Name],Company_table[Company_ID])</f>
        <v>C002</v>
      </c>
      <c r="E384" t="s">
        <v>47</v>
      </c>
      <c r="F384" t="str">
        <f>_xlfn.XLOOKUP(E384,Account_table[Account_Name],Account_table[Account_ID])</f>
        <v>A006</v>
      </c>
      <c r="G384" t="s">
        <v>72</v>
      </c>
      <c r="H384" t="str">
        <f>_xlfn.XLOOKUP(G384,Cust_Vend_table[Party_Name],Cust_Vend_table[Party_ID])</f>
        <v>P006</v>
      </c>
      <c r="I384" t="s">
        <v>90</v>
      </c>
      <c r="J384" t="str">
        <f>_xlfn.XLOOKUP(I384,Dept_table[Department_Name],Dept_table[Department_ID])</f>
        <v>D004</v>
      </c>
      <c r="K384" t="s">
        <v>102</v>
      </c>
      <c r="L384" t="str">
        <f>_xlfn.XLOOKUP(K384,Payment_table[Payment_Mode],Payment_table[Payment_Mode_ID])</f>
        <v>PM03</v>
      </c>
      <c r="M384" t="s">
        <v>1262</v>
      </c>
      <c r="N384" t="s">
        <v>1263</v>
      </c>
      <c r="O384" s="3">
        <v>33504</v>
      </c>
      <c r="P384" s="3">
        <v>6030.72</v>
      </c>
      <c r="Q384" s="3">
        <v>39534.720000000001</v>
      </c>
      <c r="R384" t="s">
        <v>116</v>
      </c>
    </row>
    <row r="385" spans="1:18" x14ac:dyDescent="0.3">
      <c r="A385" t="s">
        <v>1264</v>
      </c>
      <c r="B385" s="1">
        <v>45827</v>
      </c>
      <c r="C385" s="1" t="s">
        <v>23</v>
      </c>
      <c r="D385" t="str">
        <f>_xlfn.XLOOKUP(C385,Company_table[Company_Name],Company_table[Company_ID])</f>
        <v>C003</v>
      </c>
      <c r="E385" t="s">
        <v>51</v>
      </c>
      <c r="F385" t="str">
        <f>_xlfn.XLOOKUP(E385,Account_table[Account_Name],Account_table[Account_ID])</f>
        <v>A008</v>
      </c>
      <c r="G385" t="s">
        <v>76</v>
      </c>
      <c r="H385" t="str">
        <f>_xlfn.XLOOKUP(G385,Cust_Vend_table[Party_Name],Cust_Vend_table[Party_ID])</f>
        <v>P008</v>
      </c>
      <c r="I385" t="s">
        <v>93</v>
      </c>
      <c r="J385" t="str">
        <f>_xlfn.XLOOKUP(I385,Dept_table[Department_Name],Dept_table[Department_ID])</f>
        <v>D005</v>
      </c>
      <c r="K385" t="s">
        <v>98</v>
      </c>
      <c r="L385" t="str">
        <f>_xlfn.XLOOKUP(K385,Payment_table[Payment_Mode],Payment_table[Payment_Mode_ID])</f>
        <v>PM01</v>
      </c>
      <c r="M385" t="s">
        <v>1265</v>
      </c>
      <c r="N385" t="s">
        <v>1266</v>
      </c>
      <c r="O385" s="3">
        <v>37044</v>
      </c>
      <c r="P385" s="3">
        <v>6667.92</v>
      </c>
      <c r="Q385" s="3">
        <v>43711.92</v>
      </c>
      <c r="R385" t="s">
        <v>116</v>
      </c>
    </row>
    <row r="386" spans="1:18" x14ac:dyDescent="0.3">
      <c r="A386" t="s">
        <v>1267</v>
      </c>
      <c r="B386" s="1">
        <v>45785</v>
      </c>
      <c r="C386" s="1" t="s">
        <v>19</v>
      </c>
      <c r="D386" t="str">
        <f>_xlfn.XLOOKUP(C386,Company_table[Company_Name],Company_table[Company_ID])</f>
        <v>C002</v>
      </c>
      <c r="E386" t="s">
        <v>37</v>
      </c>
      <c r="F386" t="str">
        <f>_xlfn.XLOOKUP(E386,Account_table[Account_Name],Account_table[Account_ID])</f>
        <v>A003</v>
      </c>
      <c r="G386" t="s">
        <v>57</v>
      </c>
      <c r="H386" t="str">
        <f>_xlfn.XLOOKUP(G386,Cust_Vend_table[Party_Name],Cust_Vend_table[Party_ID])</f>
        <v>P001</v>
      </c>
      <c r="I386" t="s">
        <v>81</v>
      </c>
      <c r="J386" t="str">
        <f>_xlfn.XLOOKUP(I386,Dept_table[Department_Name],Dept_table[Department_ID])</f>
        <v>D001</v>
      </c>
      <c r="K386" t="s">
        <v>104</v>
      </c>
      <c r="L386" t="str">
        <f>_xlfn.XLOOKUP(K386,Payment_table[Payment_Mode],Payment_table[Payment_Mode_ID])</f>
        <v>PM04</v>
      </c>
      <c r="M386" t="s">
        <v>1268</v>
      </c>
      <c r="N386" t="s">
        <v>1269</v>
      </c>
      <c r="O386" s="3">
        <v>21863</v>
      </c>
      <c r="P386" s="3">
        <v>3935.34</v>
      </c>
      <c r="Q386" s="3">
        <v>25798.34</v>
      </c>
      <c r="R386" t="s">
        <v>135</v>
      </c>
    </row>
    <row r="387" spans="1:18" x14ac:dyDescent="0.3">
      <c r="A387" t="s">
        <v>1270</v>
      </c>
      <c r="B387" s="1">
        <v>46076</v>
      </c>
      <c r="C387" s="1" t="s">
        <v>19</v>
      </c>
      <c r="D387" t="str">
        <f>_xlfn.XLOOKUP(C387,Company_table[Company_Name],Company_table[Company_ID])</f>
        <v>C002</v>
      </c>
      <c r="E387" t="s">
        <v>49</v>
      </c>
      <c r="F387" t="str">
        <f>_xlfn.XLOOKUP(E387,Account_table[Account_Name],Account_table[Account_ID])</f>
        <v>A007</v>
      </c>
      <c r="G387" t="s">
        <v>72</v>
      </c>
      <c r="H387" t="str">
        <f>_xlfn.XLOOKUP(G387,Cust_Vend_table[Party_Name],Cust_Vend_table[Party_ID])</f>
        <v>P006</v>
      </c>
      <c r="I387" t="s">
        <v>81</v>
      </c>
      <c r="J387" t="str">
        <f>_xlfn.XLOOKUP(I387,Dept_table[Department_Name],Dept_table[Department_ID])</f>
        <v>D001</v>
      </c>
      <c r="K387" t="s">
        <v>104</v>
      </c>
      <c r="L387" t="str">
        <f>_xlfn.XLOOKUP(K387,Payment_table[Payment_Mode],Payment_table[Payment_Mode_ID])</f>
        <v>PM04</v>
      </c>
      <c r="M387" t="s">
        <v>1271</v>
      </c>
      <c r="N387" t="s">
        <v>1272</v>
      </c>
      <c r="O387" s="3">
        <v>12926</v>
      </c>
      <c r="P387" s="3">
        <v>2326.6799999999998</v>
      </c>
      <c r="Q387" s="3">
        <v>15252.68</v>
      </c>
      <c r="R387" t="s">
        <v>116</v>
      </c>
    </row>
    <row r="388" spans="1:18" x14ac:dyDescent="0.3">
      <c r="A388" t="s">
        <v>1273</v>
      </c>
      <c r="B388" s="1">
        <v>45941</v>
      </c>
      <c r="C388" s="1" t="s">
        <v>23</v>
      </c>
      <c r="D388" t="str">
        <f>_xlfn.XLOOKUP(C388,Company_table[Company_Name],Company_table[Company_ID])</f>
        <v>C003</v>
      </c>
      <c r="E388" t="s">
        <v>35</v>
      </c>
      <c r="F388" t="str">
        <f>_xlfn.XLOOKUP(E388,Account_table[Account_Name],Account_table[Account_ID])</f>
        <v>A002</v>
      </c>
      <c r="G388" t="s">
        <v>60</v>
      </c>
      <c r="H388" t="str">
        <f>_xlfn.XLOOKUP(G388,Cust_Vend_table[Party_Name],Cust_Vend_table[Party_ID])</f>
        <v>P002</v>
      </c>
      <c r="I388" t="s">
        <v>81</v>
      </c>
      <c r="J388" t="str">
        <f>_xlfn.XLOOKUP(I388,Dept_table[Department_Name],Dept_table[Department_ID])</f>
        <v>D001</v>
      </c>
      <c r="K388" t="s">
        <v>98</v>
      </c>
      <c r="L388" t="str">
        <f>_xlfn.XLOOKUP(K388,Payment_table[Payment_Mode],Payment_table[Payment_Mode_ID])</f>
        <v>PM01</v>
      </c>
      <c r="M388" t="s">
        <v>1274</v>
      </c>
      <c r="N388" t="s">
        <v>1275</v>
      </c>
      <c r="O388" s="3">
        <v>48061</v>
      </c>
      <c r="P388" s="3">
        <v>8650.98</v>
      </c>
      <c r="Q388" s="3">
        <v>56711.98</v>
      </c>
      <c r="R388" t="s">
        <v>135</v>
      </c>
    </row>
    <row r="389" spans="1:18" x14ac:dyDescent="0.3">
      <c r="A389" t="s">
        <v>1276</v>
      </c>
      <c r="B389" s="1">
        <v>45866</v>
      </c>
      <c r="C389" s="1" t="s">
        <v>19</v>
      </c>
      <c r="D389" t="str">
        <f>_xlfn.XLOOKUP(C389,Company_table[Company_Name],Company_table[Company_ID])</f>
        <v>C002</v>
      </c>
      <c r="E389" t="s">
        <v>31</v>
      </c>
      <c r="F389" t="str">
        <f>_xlfn.XLOOKUP(E389,Account_table[Account_Name],Account_table[Account_ID])</f>
        <v>A001</v>
      </c>
      <c r="G389" t="s">
        <v>62</v>
      </c>
      <c r="H389" t="str">
        <f>_xlfn.XLOOKUP(G389,Cust_Vend_table[Party_Name],Cust_Vend_table[Party_ID])</f>
        <v>P003</v>
      </c>
      <c r="I389" t="s">
        <v>93</v>
      </c>
      <c r="J389" t="str">
        <f>_xlfn.XLOOKUP(I389,Dept_table[Department_Name],Dept_table[Department_ID])</f>
        <v>D005</v>
      </c>
      <c r="K389" t="s">
        <v>102</v>
      </c>
      <c r="L389" t="str">
        <f>_xlfn.XLOOKUP(K389,Payment_table[Payment_Mode],Payment_table[Payment_Mode_ID])</f>
        <v>PM03</v>
      </c>
      <c r="M389" t="s">
        <v>1277</v>
      </c>
      <c r="N389" t="s">
        <v>1278</v>
      </c>
      <c r="O389" s="3">
        <v>21478</v>
      </c>
      <c r="P389" s="3">
        <v>3866.04</v>
      </c>
      <c r="Q389" s="3">
        <v>25344.04</v>
      </c>
      <c r="R389" t="s">
        <v>135</v>
      </c>
    </row>
    <row r="390" spans="1:18" x14ac:dyDescent="0.3">
      <c r="A390" t="s">
        <v>1279</v>
      </c>
      <c r="B390" s="1">
        <v>45935</v>
      </c>
      <c r="C390" s="1" t="s">
        <v>23</v>
      </c>
      <c r="D390" t="str">
        <f>_xlfn.XLOOKUP(C390,Company_table[Company_Name],Company_table[Company_ID])</f>
        <v>C003</v>
      </c>
      <c r="E390" t="s">
        <v>47</v>
      </c>
      <c r="F390" t="str">
        <f>_xlfn.XLOOKUP(E390,Account_table[Account_Name],Account_table[Account_ID])</f>
        <v>A006</v>
      </c>
      <c r="G390" t="s">
        <v>74</v>
      </c>
      <c r="H390" t="str">
        <f>_xlfn.XLOOKUP(G390,Cust_Vend_table[Party_Name],Cust_Vend_table[Party_ID])</f>
        <v>P007</v>
      </c>
      <c r="I390" t="s">
        <v>87</v>
      </c>
      <c r="J390" t="str">
        <f>_xlfn.XLOOKUP(I390,Dept_table[Department_Name],Dept_table[Department_ID])</f>
        <v>D003</v>
      </c>
      <c r="K390" t="s">
        <v>100</v>
      </c>
      <c r="L390" t="str">
        <f>_xlfn.XLOOKUP(K390,Payment_table[Payment_Mode],Payment_table[Payment_Mode_ID])</f>
        <v>PM02</v>
      </c>
      <c r="M390" t="s">
        <v>1280</v>
      </c>
      <c r="N390" t="s">
        <v>1281</v>
      </c>
      <c r="O390" s="3">
        <v>24289</v>
      </c>
      <c r="P390" s="3">
        <v>4372.0200000000004</v>
      </c>
      <c r="Q390" s="3">
        <v>28661.02</v>
      </c>
      <c r="R390" t="s">
        <v>116</v>
      </c>
    </row>
    <row r="391" spans="1:18" x14ac:dyDescent="0.3">
      <c r="A391" t="s">
        <v>1282</v>
      </c>
      <c r="B391" s="1">
        <v>45694</v>
      </c>
      <c r="C391" s="1" t="s">
        <v>23</v>
      </c>
      <c r="D391" t="str">
        <f>_xlfn.XLOOKUP(C391,Company_table[Company_Name],Company_table[Company_ID])</f>
        <v>C003</v>
      </c>
      <c r="E391" t="s">
        <v>35</v>
      </c>
      <c r="F391" t="str">
        <f>_xlfn.XLOOKUP(E391,Account_table[Account_Name],Account_table[Account_ID])</f>
        <v>A002</v>
      </c>
      <c r="G391" t="s">
        <v>65</v>
      </c>
      <c r="H391" t="str">
        <f>_xlfn.XLOOKUP(G391,Cust_Vend_table[Party_Name],Cust_Vend_table[Party_ID])</f>
        <v>P004</v>
      </c>
      <c r="I391" t="s">
        <v>81</v>
      </c>
      <c r="J391" t="str">
        <f>_xlfn.XLOOKUP(I391,Dept_table[Department_Name],Dept_table[Department_ID])</f>
        <v>D001</v>
      </c>
      <c r="K391" t="s">
        <v>104</v>
      </c>
      <c r="L391" t="str">
        <f>_xlfn.XLOOKUP(K391,Payment_table[Payment_Mode],Payment_table[Payment_Mode_ID])</f>
        <v>PM04</v>
      </c>
      <c r="M391" t="s">
        <v>1283</v>
      </c>
      <c r="N391" t="s">
        <v>1284</v>
      </c>
      <c r="O391" s="3">
        <v>7282</v>
      </c>
      <c r="P391" s="3">
        <v>1310.76</v>
      </c>
      <c r="Q391" s="3">
        <v>8592.76</v>
      </c>
      <c r="R391" t="s">
        <v>135</v>
      </c>
    </row>
    <row r="392" spans="1:18" x14ac:dyDescent="0.3">
      <c r="A392" t="s">
        <v>1285</v>
      </c>
      <c r="B392" s="1">
        <v>45788</v>
      </c>
      <c r="C392" s="1" t="s">
        <v>23</v>
      </c>
      <c r="D392" t="str">
        <f>_xlfn.XLOOKUP(C392,Company_table[Company_Name],Company_table[Company_ID])</f>
        <v>C003</v>
      </c>
      <c r="E392" t="s">
        <v>49</v>
      </c>
      <c r="F392" t="str">
        <f>_xlfn.XLOOKUP(E392,Account_table[Account_Name],Account_table[Account_ID])</f>
        <v>A007</v>
      </c>
      <c r="G392" t="s">
        <v>74</v>
      </c>
      <c r="H392" t="str">
        <f>_xlfn.XLOOKUP(G392,Cust_Vend_table[Party_Name],Cust_Vend_table[Party_ID])</f>
        <v>P007</v>
      </c>
      <c r="I392" t="s">
        <v>81</v>
      </c>
      <c r="J392" t="str">
        <f>_xlfn.XLOOKUP(I392,Dept_table[Department_Name],Dept_table[Department_ID])</f>
        <v>D001</v>
      </c>
      <c r="K392" t="s">
        <v>100</v>
      </c>
      <c r="L392" t="str">
        <f>_xlfn.XLOOKUP(K392,Payment_table[Payment_Mode],Payment_table[Payment_Mode_ID])</f>
        <v>PM02</v>
      </c>
      <c r="M392" t="s">
        <v>1286</v>
      </c>
      <c r="N392" t="s">
        <v>1287</v>
      </c>
      <c r="O392" s="3">
        <v>41224</v>
      </c>
      <c r="P392" s="3">
        <v>7420.32</v>
      </c>
      <c r="Q392" s="3">
        <v>48644.32</v>
      </c>
      <c r="R392" t="s">
        <v>116</v>
      </c>
    </row>
    <row r="393" spans="1:18" x14ac:dyDescent="0.3">
      <c r="A393" t="s">
        <v>1288</v>
      </c>
      <c r="B393" s="1">
        <v>46063</v>
      </c>
      <c r="C393" s="1" t="s">
        <v>19</v>
      </c>
      <c r="D393" t="str">
        <f>_xlfn.XLOOKUP(C393,Company_table[Company_Name],Company_table[Company_ID])</f>
        <v>C002</v>
      </c>
      <c r="E393" t="s">
        <v>35</v>
      </c>
      <c r="F393" t="str">
        <f>_xlfn.XLOOKUP(E393,Account_table[Account_Name],Account_table[Account_ID])</f>
        <v>A002</v>
      </c>
      <c r="G393" t="s">
        <v>62</v>
      </c>
      <c r="H393" t="str">
        <f>_xlfn.XLOOKUP(G393,Cust_Vend_table[Party_Name],Cust_Vend_table[Party_ID])</f>
        <v>P003</v>
      </c>
      <c r="I393" t="s">
        <v>87</v>
      </c>
      <c r="J393" t="str">
        <f>_xlfn.XLOOKUP(I393,Dept_table[Department_Name],Dept_table[Department_ID])</f>
        <v>D003</v>
      </c>
      <c r="K393" t="s">
        <v>104</v>
      </c>
      <c r="L393" t="str">
        <f>_xlfn.XLOOKUP(K393,Payment_table[Payment_Mode],Payment_table[Payment_Mode_ID])</f>
        <v>PM04</v>
      </c>
      <c r="M393" t="s">
        <v>1289</v>
      </c>
      <c r="N393" t="s">
        <v>1290</v>
      </c>
      <c r="O393" s="3">
        <v>39509</v>
      </c>
      <c r="P393" s="3">
        <v>7111.62</v>
      </c>
      <c r="Q393" s="3">
        <v>46620.62</v>
      </c>
      <c r="R393" t="s">
        <v>135</v>
      </c>
    </row>
    <row r="394" spans="1:18" x14ac:dyDescent="0.3">
      <c r="A394" t="s">
        <v>1291</v>
      </c>
      <c r="B394" s="1">
        <v>45806</v>
      </c>
      <c r="C394" s="1" t="s">
        <v>19</v>
      </c>
      <c r="D394" t="str">
        <f>_xlfn.XLOOKUP(C394,Company_table[Company_Name],Company_table[Company_ID])</f>
        <v>C002</v>
      </c>
      <c r="E394" t="s">
        <v>51</v>
      </c>
      <c r="F394" t="str">
        <f>_xlfn.XLOOKUP(E394,Account_table[Account_Name],Account_table[Account_ID])</f>
        <v>A008</v>
      </c>
      <c r="G394" t="s">
        <v>74</v>
      </c>
      <c r="H394" t="str">
        <f>_xlfn.XLOOKUP(G394,Cust_Vend_table[Party_Name],Cust_Vend_table[Party_ID])</f>
        <v>P007</v>
      </c>
      <c r="I394" t="s">
        <v>87</v>
      </c>
      <c r="J394" t="str">
        <f>_xlfn.XLOOKUP(I394,Dept_table[Department_Name],Dept_table[Department_ID])</f>
        <v>D003</v>
      </c>
      <c r="K394" t="s">
        <v>100</v>
      </c>
      <c r="L394" t="str">
        <f>_xlfn.XLOOKUP(K394,Payment_table[Payment_Mode],Payment_table[Payment_Mode_ID])</f>
        <v>PM02</v>
      </c>
      <c r="M394" t="s">
        <v>1292</v>
      </c>
      <c r="N394" t="s">
        <v>1293</v>
      </c>
      <c r="O394" s="3">
        <v>43967</v>
      </c>
      <c r="P394" s="3">
        <v>7914.06</v>
      </c>
      <c r="Q394" s="3">
        <v>51881.06</v>
      </c>
      <c r="R394" t="s">
        <v>116</v>
      </c>
    </row>
    <row r="395" spans="1:18" x14ac:dyDescent="0.3">
      <c r="A395" t="s">
        <v>1294</v>
      </c>
      <c r="B395" s="1">
        <v>45775</v>
      </c>
      <c r="C395" s="1" t="s">
        <v>19</v>
      </c>
      <c r="D395" t="str">
        <f>_xlfn.XLOOKUP(C395,Company_table[Company_Name],Company_table[Company_ID])</f>
        <v>C002</v>
      </c>
      <c r="E395" t="s">
        <v>31</v>
      </c>
      <c r="F395" t="str">
        <f>_xlfn.XLOOKUP(E395,Account_table[Account_Name],Account_table[Account_ID])</f>
        <v>A001</v>
      </c>
      <c r="G395" t="s">
        <v>60</v>
      </c>
      <c r="H395" t="str">
        <f>_xlfn.XLOOKUP(G395,Cust_Vend_table[Party_Name],Cust_Vend_table[Party_ID])</f>
        <v>P002</v>
      </c>
      <c r="I395" t="s">
        <v>81</v>
      </c>
      <c r="J395" t="str">
        <f>_xlfn.XLOOKUP(I395,Dept_table[Department_Name],Dept_table[Department_ID])</f>
        <v>D001</v>
      </c>
      <c r="K395" t="s">
        <v>100</v>
      </c>
      <c r="L395" t="str">
        <f>_xlfn.XLOOKUP(K395,Payment_table[Payment_Mode],Payment_table[Payment_Mode_ID])</f>
        <v>PM02</v>
      </c>
      <c r="M395" t="s">
        <v>1295</v>
      </c>
      <c r="N395" t="s">
        <v>1296</v>
      </c>
      <c r="O395" s="3">
        <v>11174</v>
      </c>
      <c r="P395" s="3">
        <v>2011.32</v>
      </c>
      <c r="Q395" s="3">
        <v>13185.32</v>
      </c>
      <c r="R395" t="s">
        <v>135</v>
      </c>
    </row>
    <row r="396" spans="1:18" x14ac:dyDescent="0.3">
      <c r="A396" t="s">
        <v>1297</v>
      </c>
      <c r="B396" s="1">
        <v>45851</v>
      </c>
      <c r="C396" s="1" t="s">
        <v>14</v>
      </c>
      <c r="D396" t="str">
        <f>_xlfn.XLOOKUP(C396,Company_table[Company_Name],Company_table[Company_ID])</f>
        <v>C001</v>
      </c>
      <c r="E396" t="s">
        <v>49</v>
      </c>
      <c r="F396" t="str">
        <f>_xlfn.XLOOKUP(E396,Account_table[Account_Name],Account_table[Account_ID])</f>
        <v>A007</v>
      </c>
      <c r="G396" t="s">
        <v>72</v>
      </c>
      <c r="H396" t="str">
        <f>_xlfn.XLOOKUP(G396,Cust_Vend_table[Party_Name],Cust_Vend_table[Party_ID])</f>
        <v>P006</v>
      </c>
      <c r="I396" t="s">
        <v>81</v>
      </c>
      <c r="J396" t="str">
        <f>_xlfn.XLOOKUP(I396,Dept_table[Department_Name],Dept_table[Department_ID])</f>
        <v>D001</v>
      </c>
      <c r="K396" t="s">
        <v>98</v>
      </c>
      <c r="L396" t="str">
        <f>_xlfn.XLOOKUP(K396,Payment_table[Payment_Mode],Payment_table[Payment_Mode_ID])</f>
        <v>PM01</v>
      </c>
      <c r="M396" t="s">
        <v>1298</v>
      </c>
      <c r="N396" t="s">
        <v>1299</v>
      </c>
      <c r="O396" s="3">
        <v>37750</v>
      </c>
      <c r="P396" s="3">
        <v>6795</v>
      </c>
      <c r="Q396" s="3">
        <v>44545</v>
      </c>
      <c r="R396" t="s">
        <v>116</v>
      </c>
    </row>
    <row r="397" spans="1:18" x14ac:dyDescent="0.3">
      <c r="A397" t="s">
        <v>1300</v>
      </c>
      <c r="B397" s="1">
        <v>45790</v>
      </c>
      <c r="C397" s="1" t="s">
        <v>14</v>
      </c>
      <c r="D397" t="str">
        <f>_xlfn.XLOOKUP(C397,Company_table[Company_Name],Company_table[Company_ID])</f>
        <v>C001</v>
      </c>
      <c r="E397" t="s">
        <v>31</v>
      </c>
      <c r="F397" t="str">
        <f>_xlfn.XLOOKUP(E397,Account_table[Account_Name],Account_table[Account_ID])</f>
        <v>A001</v>
      </c>
      <c r="G397" t="s">
        <v>62</v>
      </c>
      <c r="H397" t="str">
        <f>_xlfn.XLOOKUP(G397,Cust_Vend_table[Party_Name],Cust_Vend_table[Party_ID])</f>
        <v>P003</v>
      </c>
      <c r="I397" t="s">
        <v>81</v>
      </c>
      <c r="J397" t="str">
        <f>_xlfn.XLOOKUP(I397,Dept_table[Department_Name],Dept_table[Department_ID])</f>
        <v>D001</v>
      </c>
      <c r="K397" t="s">
        <v>104</v>
      </c>
      <c r="L397" t="str">
        <f>_xlfn.XLOOKUP(K397,Payment_table[Payment_Mode],Payment_table[Payment_Mode_ID])</f>
        <v>PM04</v>
      </c>
      <c r="M397" t="s">
        <v>1301</v>
      </c>
      <c r="N397" t="s">
        <v>1302</v>
      </c>
      <c r="O397" s="3">
        <v>25985</v>
      </c>
      <c r="P397" s="3">
        <v>4677.3</v>
      </c>
      <c r="Q397" s="3">
        <v>30662.3</v>
      </c>
      <c r="R397" t="s">
        <v>135</v>
      </c>
    </row>
    <row r="398" spans="1:18" x14ac:dyDescent="0.3">
      <c r="A398" t="s">
        <v>1303</v>
      </c>
      <c r="B398" s="1">
        <v>45775</v>
      </c>
      <c r="C398" s="1" t="s">
        <v>19</v>
      </c>
      <c r="D398" t="str">
        <f>_xlfn.XLOOKUP(C398,Company_table[Company_Name],Company_table[Company_ID])</f>
        <v>C002</v>
      </c>
      <c r="E398" t="s">
        <v>37</v>
      </c>
      <c r="F398" t="str">
        <f>_xlfn.XLOOKUP(E398,Account_table[Account_Name],Account_table[Account_ID])</f>
        <v>A003</v>
      </c>
      <c r="G398" t="s">
        <v>57</v>
      </c>
      <c r="H398" t="str">
        <f>_xlfn.XLOOKUP(G398,Cust_Vend_table[Party_Name],Cust_Vend_table[Party_ID])</f>
        <v>P001</v>
      </c>
      <c r="I398" t="s">
        <v>90</v>
      </c>
      <c r="J398" t="str">
        <f>_xlfn.XLOOKUP(I398,Dept_table[Department_Name],Dept_table[Department_ID])</f>
        <v>D004</v>
      </c>
      <c r="K398" t="s">
        <v>98</v>
      </c>
      <c r="L398" t="str">
        <f>_xlfn.XLOOKUP(K398,Payment_table[Payment_Mode],Payment_table[Payment_Mode_ID])</f>
        <v>PM01</v>
      </c>
      <c r="M398" t="s">
        <v>1304</v>
      </c>
      <c r="N398" t="s">
        <v>1305</v>
      </c>
      <c r="O398" s="3">
        <v>5351</v>
      </c>
      <c r="P398" s="3">
        <v>963.18</v>
      </c>
      <c r="Q398" s="3">
        <v>6314.18</v>
      </c>
      <c r="R398" t="s">
        <v>135</v>
      </c>
    </row>
    <row r="399" spans="1:18" x14ac:dyDescent="0.3">
      <c r="A399" t="s">
        <v>1306</v>
      </c>
      <c r="B399" s="1">
        <v>45730</v>
      </c>
      <c r="C399" s="1" t="s">
        <v>23</v>
      </c>
      <c r="D399" t="str">
        <f>_xlfn.XLOOKUP(C399,Company_table[Company_Name],Company_table[Company_ID])</f>
        <v>C003</v>
      </c>
      <c r="E399" t="s">
        <v>35</v>
      </c>
      <c r="F399" t="str">
        <f>_xlfn.XLOOKUP(E399,Account_table[Account_Name],Account_table[Account_ID])</f>
        <v>A002</v>
      </c>
      <c r="G399" t="s">
        <v>57</v>
      </c>
      <c r="H399" t="str">
        <f>_xlfn.XLOOKUP(G399,Cust_Vend_table[Party_Name],Cust_Vend_table[Party_ID])</f>
        <v>P001</v>
      </c>
      <c r="I399" t="s">
        <v>84</v>
      </c>
      <c r="J399" t="str">
        <f>_xlfn.XLOOKUP(I399,Dept_table[Department_Name],Dept_table[Department_ID])</f>
        <v>D002</v>
      </c>
      <c r="K399" t="s">
        <v>102</v>
      </c>
      <c r="L399" t="str">
        <f>_xlfn.XLOOKUP(K399,Payment_table[Payment_Mode],Payment_table[Payment_Mode_ID])</f>
        <v>PM03</v>
      </c>
      <c r="M399" t="s">
        <v>1307</v>
      </c>
      <c r="N399" t="s">
        <v>1308</v>
      </c>
      <c r="O399" s="3">
        <v>5812</v>
      </c>
      <c r="P399" s="3">
        <v>1046.1600000000001</v>
      </c>
      <c r="Q399" s="3">
        <v>6858.16</v>
      </c>
      <c r="R399" t="s">
        <v>135</v>
      </c>
    </row>
    <row r="400" spans="1:18" x14ac:dyDescent="0.3">
      <c r="A400" t="s">
        <v>1309</v>
      </c>
      <c r="B400" s="1">
        <v>45922</v>
      </c>
      <c r="C400" s="1" t="s">
        <v>14</v>
      </c>
      <c r="D400" t="str">
        <f>_xlfn.XLOOKUP(C400,Company_table[Company_Name],Company_table[Company_ID])</f>
        <v>C001</v>
      </c>
      <c r="E400" t="s">
        <v>40</v>
      </c>
      <c r="F400" t="str">
        <f>_xlfn.XLOOKUP(E400,Account_table[Account_Name],Account_table[Account_ID])</f>
        <v>A004</v>
      </c>
      <c r="G400" t="s">
        <v>76</v>
      </c>
      <c r="H400" t="str">
        <f>_xlfn.XLOOKUP(G400,Cust_Vend_table[Party_Name],Cust_Vend_table[Party_ID])</f>
        <v>P008</v>
      </c>
      <c r="I400" t="s">
        <v>84</v>
      </c>
      <c r="J400" t="str">
        <f>_xlfn.XLOOKUP(I400,Dept_table[Department_Name],Dept_table[Department_ID])</f>
        <v>D002</v>
      </c>
      <c r="K400" t="s">
        <v>100</v>
      </c>
      <c r="L400" t="str">
        <f>_xlfn.XLOOKUP(K400,Payment_table[Payment_Mode],Payment_table[Payment_Mode_ID])</f>
        <v>PM02</v>
      </c>
      <c r="M400" t="s">
        <v>1310</v>
      </c>
      <c r="N400" t="s">
        <v>1311</v>
      </c>
      <c r="O400" s="3">
        <v>15433</v>
      </c>
      <c r="P400" s="3">
        <v>2777.94</v>
      </c>
      <c r="Q400" s="3">
        <v>18210.939999999999</v>
      </c>
      <c r="R400" t="s">
        <v>116</v>
      </c>
    </row>
    <row r="401" spans="1:18" x14ac:dyDescent="0.3">
      <c r="A401" t="s">
        <v>1312</v>
      </c>
      <c r="B401" s="1">
        <v>45925</v>
      </c>
      <c r="C401" s="1" t="s">
        <v>14</v>
      </c>
      <c r="D401" t="str">
        <f>_xlfn.XLOOKUP(C401,Company_table[Company_Name],Company_table[Company_ID])</f>
        <v>C001</v>
      </c>
      <c r="E401" t="s">
        <v>37</v>
      </c>
      <c r="F401" t="str">
        <f>_xlfn.XLOOKUP(E401,Account_table[Account_Name],Account_table[Account_ID])</f>
        <v>A003</v>
      </c>
      <c r="G401" t="s">
        <v>62</v>
      </c>
      <c r="H401" t="str">
        <f>_xlfn.XLOOKUP(G401,Cust_Vend_table[Party_Name],Cust_Vend_table[Party_ID])</f>
        <v>P003</v>
      </c>
      <c r="I401" t="s">
        <v>87</v>
      </c>
      <c r="J401" t="str">
        <f>_xlfn.XLOOKUP(I401,Dept_table[Department_Name],Dept_table[Department_ID])</f>
        <v>D003</v>
      </c>
      <c r="K401" t="s">
        <v>98</v>
      </c>
      <c r="L401" t="str">
        <f>_xlfn.XLOOKUP(K401,Payment_table[Payment_Mode],Payment_table[Payment_Mode_ID])</f>
        <v>PM01</v>
      </c>
      <c r="M401" t="s">
        <v>1313</v>
      </c>
      <c r="N401" t="s">
        <v>1314</v>
      </c>
      <c r="O401" s="3">
        <v>42229</v>
      </c>
      <c r="P401" s="3">
        <v>7601.22</v>
      </c>
      <c r="Q401" s="3">
        <v>49830.22</v>
      </c>
      <c r="R401" t="s">
        <v>135</v>
      </c>
    </row>
  </sheetData>
  <dataValidations count="7">
    <dataValidation type="list" allowBlank="1" showInputMessage="1" showErrorMessage="1" sqref="C1:C1048576" xr:uid="{0B0A5765-2CE8-44ED-9FA4-791EC186DC44}">
      <formula1>Company_List</formula1>
    </dataValidation>
    <dataValidation type="list" allowBlank="1" showInputMessage="1" showErrorMessage="1" sqref="G1:G1048576" xr:uid="{55DF4B6F-BD5D-4941-84EB-AB2C8F008F33}">
      <formula1>Customer_List</formula1>
    </dataValidation>
    <dataValidation type="list" allowBlank="1" showInputMessage="1" showErrorMessage="1" sqref="K1 K3:K1048576" xr:uid="{E5FB449F-DC1E-47C0-9D98-8F5A0786088E}">
      <formula1>"Payment_Mode_List"</formula1>
    </dataValidation>
    <dataValidation type="list" allowBlank="1" showInputMessage="1" showErrorMessage="1" sqref="K2" xr:uid="{656392DB-A8F0-495A-8A25-A9AB5AFCEC23}">
      <formula1>Payment_Mode_List</formula1>
    </dataValidation>
    <dataValidation type="list" allowBlank="1" showInputMessage="1" showErrorMessage="1" sqref="I1 I3:I1048576" xr:uid="{0BCBE646-D200-443F-A73F-6AEB41810D86}">
      <formula1>"Department_list"</formula1>
    </dataValidation>
    <dataValidation type="list" allowBlank="1" showInputMessage="1" showErrorMessage="1" sqref="I2" xr:uid="{A33FDFF0-25B0-4ECD-AE6D-AE26D48E47C8}">
      <formula1>Department_List</formula1>
    </dataValidation>
    <dataValidation type="list" allowBlank="1" showInputMessage="1" showErrorMessage="1" sqref="E1:E1048576" xr:uid="{CF84848C-CAE4-4770-8BE0-98EC956C776D}">
      <formula1>Account_list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README</vt:lpstr>
      <vt:lpstr>Company_Master</vt:lpstr>
      <vt:lpstr>Account_Master</vt:lpstr>
      <vt:lpstr>Customer_Vendor_Master</vt:lpstr>
      <vt:lpstr>Department_Master</vt:lpstr>
      <vt:lpstr>Payment_Mode_Master</vt:lpstr>
      <vt:lpstr>Transactions</vt:lpstr>
      <vt:lpstr>Account_list</vt:lpstr>
      <vt:lpstr>Company_List</vt:lpstr>
      <vt:lpstr>Customer_List</vt:lpstr>
      <vt:lpstr>Department_List</vt:lpstr>
      <vt:lpstr>Payment_Mode_List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payalgoyal90@outlook.com</cp:lastModifiedBy>
  <dcterms:created xsi:type="dcterms:W3CDTF">2026-03-06T05:39:49Z</dcterms:created>
  <dcterms:modified xsi:type="dcterms:W3CDTF">2026-03-06T07:34:47Z</dcterms:modified>
</cp:coreProperties>
</file>